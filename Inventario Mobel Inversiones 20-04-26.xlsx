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ebp" ContentType="image/png"/>
  <Default Extension="rels" ContentType="application/vnd.openxmlformats-package.relationships+xml"/>
  <Default Extension="xml" ContentType="application/xml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Pictures\Mobel Inversiones\"/>
    </mc:Choice>
  </mc:AlternateContent>
  <bookViews>
    <workbookView xWindow="0" yWindow="0" windowWidth="23040" windowHeight="9192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G140" i="1" l="1"/>
  <c r="G141" i="1"/>
  <c r="G142" i="1"/>
  <c r="G143" i="1"/>
  <c r="G144" i="1"/>
  <c r="G145" i="1"/>
  <c r="G146" i="1"/>
  <c r="G147" i="1"/>
  <c r="G148" i="1"/>
  <c r="G139" i="1"/>
  <c r="G123" i="1" l="1"/>
  <c r="G124" i="1"/>
  <c r="G125" i="1"/>
  <c r="G126" i="1"/>
  <c r="G127" i="1"/>
  <c r="G128" i="1"/>
  <c r="G129" i="1"/>
  <c r="G130" i="1"/>
  <c r="G131" i="1"/>
  <c r="G132" i="1"/>
  <c r="G133" i="1"/>
  <c r="G118" i="1"/>
  <c r="G117" i="1"/>
  <c r="G119" i="1"/>
  <c r="G120" i="1"/>
  <c r="G121" i="1"/>
  <c r="G122" i="1"/>
  <c r="G113" i="1"/>
  <c r="G114" i="1"/>
  <c r="G115" i="1"/>
  <c r="G116" i="1"/>
  <c r="G112" i="1"/>
  <c r="G158" i="1"/>
  <c r="G153" i="1" l="1"/>
  <c r="G154" i="1"/>
  <c r="G155" i="1"/>
  <c r="G156" i="1"/>
  <c r="G157" i="1"/>
  <c r="G42" i="1" l="1"/>
  <c r="G39" i="1"/>
  <c r="G89" i="1" l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88" i="1" l="1"/>
  <c r="G14" i="1" l="1"/>
  <c r="G12" i="1"/>
  <c r="G13" i="1"/>
  <c r="G84" i="1"/>
  <c r="G85" i="1"/>
  <c r="G86" i="1"/>
  <c r="G87" i="1"/>
  <c r="G8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11" i="1"/>
</calcChain>
</file>

<file path=xl/sharedStrings.xml><?xml version="1.0" encoding="utf-8"?>
<sst xmlns="http://schemas.openxmlformats.org/spreadsheetml/2006/main" count="243" uniqueCount="158">
  <si>
    <t>CONECTOR RECTO 1/4NPT MANGUERA 6MM</t>
  </si>
  <si>
    <t>CONECTOR RECTO 1/8NPT MANGUERA 6MM</t>
  </si>
  <si>
    <t>CONECTOR RECTO 1/8NPT MANGUERA 8MM</t>
  </si>
  <si>
    <t>CONECTOR RECTO 1/8NPT MANGUERA 10MM</t>
  </si>
  <si>
    <t>CONECT. EN CODO 1/4NPT MANGUERA 8MM</t>
  </si>
  <si>
    <t>CONECT. EN CODO 1/4NPT MANGUERA 10MM</t>
  </si>
  <si>
    <t>CONECT. EN CODO 3/8NPT MANGUERA 6MM</t>
  </si>
  <si>
    <t>CONECT. EN CODO 3/8NPT MANGUERA 8MM</t>
  </si>
  <si>
    <t>CONECT. EN CODO 3/8NPT MANGUERA 10MM</t>
  </si>
  <si>
    <t>CONECTOR RECTO 1/4NPT MANGUERA 8MM</t>
  </si>
  <si>
    <t>CONECTOR RECTO 1/4NPT MANGUERA 10MM</t>
  </si>
  <si>
    <t>CONECTOR RECTO 3/8NPT MANGUERA 6MM</t>
  </si>
  <si>
    <t>CONECTOR RECTO 3/8NPT MANGUERA 8MM</t>
  </si>
  <si>
    <t>CONECTOR RECTO 3/8NPT MANGUERA 10MM</t>
  </si>
  <si>
    <t>UNION RAPIDA PARA MANGUERA 12MM</t>
  </si>
  <si>
    <t>UNION RAPIDA PARA MANGUERA 6MM</t>
  </si>
  <si>
    <t>UNION RAPIDA PARA MANGUERA 8MM</t>
  </si>
  <si>
    <t>UNION RAPIDA PARA MANGUERA 10MM</t>
  </si>
  <si>
    <t>CONECTOR RECTO 3/8NPT MANGUERA 12MM</t>
  </si>
  <si>
    <t>CONECTOR RECTO 1/2NPT MANGUERA 6MM</t>
  </si>
  <si>
    <t>CONECTOR RECTO 1/2NPT MANGUERA 8MM</t>
  </si>
  <si>
    <t>CONECTOR RECTO 1/2NPT MANGUERA 10MM</t>
  </si>
  <si>
    <t>CONECTOR RECTO 1/2NPT MANGUERA 12MM</t>
  </si>
  <si>
    <t>UNION RAPIDA EN T PARA MANGUERA 6MM</t>
  </si>
  <si>
    <t>UNION RAPIDA EN T PARA MANGUERA 8MM</t>
  </si>
  <si>
    <t>UNION RAPIDA EN T PARA MANGUERA 10MM</t>
  </si>
  <si>
    <t>UNION RAPIDA EN T PARA MANGUERA 12MM</t>
  </si>
  <si>
    <t>UNI. RAPIDA EN CODO PARA MANGUERA 6MM</t>
  </si>
  <si>
    <t>UNI. RAPIDA EN CODO PARA MANGUERA 8MM</t>
  </si>
  <si>
    <t>UNI. RAPIDA EN CODO PARA MANGUERA 10MM</t>
  </si>
  <si>
    <t>UNI. RAPIDA EN CODO PARA MANGUERA 12MM</t>
  </si>
  <si>
    <t>UNION RAPIDA EN YE PARA MANGUERA 6MM</t>
  </si>
  <si>
    <t>UNION RAPIDA EN YE PARA MANGUERA 8MM</t>
  </si>
  <si>
    <t>UNION RAPIDA EN YE PARA MANGUERA 10MM</t>
  </si>
  <si>
    <t>UNION RAPIDA EN YE PARA MANGUERA 12MM</t>
  </si>
  <si>
    <t>UNI. RAPIDA EN CRUZ PARA MANGUERA 6MM</t>
  </si>
  <si>
    <t>UNI. RAPIDA EN CRUZ PARA MANGUERA 8MM</t>
  </si>
  <si>
    <t>UNI. RAPIDA EN CRUZ PARA MANGUERA 10MM</t>
  </si>
  <si>
    <t>UNI. RAPIDA EN CRUZ PARA MANGUERA 12MM</t>
  </si>
  <si>
    <t>UNION RAPIDA REDUCIDA PARA MANGUERA 6MM x 8MM</t>
  </si>
  <si>
    <t>UNION RAPIDA REDUCIDA PARA MANGUERA 6MM x 10MM</t>
  </si>
  <si>
    <t>UNION RAPIDA REDUCIDA PARA MANGUERA 8MM x 10MM</t>
  </si>
  <si>
    <t>UNION RAPIDA REDUCIDA PARA MANGUERA 8MM x 12MM</t>
  </si>
  <si>
    <t>YE CON ROSCA 1/2NPT MANGUERA 6MM</t>
  </si>
  <si>
    <t>YE CON ROSCA 1/2NPT MANGUERA 8MM</t>
  </si>
  <si>
    <t>YE CON ROSCA 1/2NPT MANGUERA 10MM</t>
  </si>
  <si>
    <t>YE CON ROSCA 1/2NPT MANGUERA 12MM</t>
  </si>
  <si>
    <t>UNION RAPIDA REDUCIDA PARA MANGUERA 10MM x 12MM</t>
  </si>
  <si>
    <t>CONECTOR HEMBRA 1/8NPT MANGUERA 6MM</t>
  </si>
  <si>
    <t>CONECTOR HEMBRA 1/8NPT MANGUERA 8MM</t>
  </si>
  <si>
    <t>CONECTOR HEMBRA 1/8NPT MANGUERA 10MM</t>
  </si>
  <si>
    <t>CONECTOR HEMBRA 1/4NPT MANGUERA 6MM</t>
  </si>
  <si>
    <t>CONECTOR HEMBRA 1/4NPT MANGUERA 8MM</t>
  </si>
  <si>
    <t>CONECTOR HEMBRA 1/4NPT MANGUERA 10MM</t>
  </si>
  <si>
    <t>CONECTOR HEMBRA 1/4NPT MANGUERA 12MM</t>
  </si>
  <si>
    <t>CONECTOR HEMBRA 3/8NPT MANGUERA 6MM</t>
  </si>
  <si>
    <t>CONECTOR HEMBRA 3/8NPT MANGUERA 8MM</t>
  </si>
  <si>
    <t>CONECTOR HEMBRA 3/8NPT MANGUERA 10MM</t>
  </si>
  <si>
    <t>CONECTOR HEMBRA 3/8NPT MANGUERA 12MM</t>
  </si>
  <si>
    <t>CONECTOR HEMBRA 1/2NPT MANGUERA 6MM</t>
  </si>
  <si>
    <t>CONECTOR HEMBRA 1/2NPT MANGUERA 8MM</t>
  </si>
  <si>
    <t>CONECTOR HEMBRA 1/2NPT MANGUERA 10MM</t>
  </si>
  <si>
    <t>CONECTOR HEMBRA 1/2NPT MANGUERA 12MM</t>
  </si>
  <si>
    <t>FOTO</t>
  </si>
  <si>
    <t>CONECTOR RECTO 1/4NPT MANGUERA 12MM</t>
  </si>
  <si>
    <t>CONECT. EN CODO 1/4NPT MANGUERA 6MM</t>
  </si>
  <si>
    <t>CONECT. EN CODO 1/4NPT MANGUERA 12MM</t>
  </si>
  <si>
    <t>CONECT. EN CODO 3/8NPT MANGUERA 12MM</t>
  </si>
  <si>
    <t>CONECT. EN CODO 1/2NPT MANGUERA 6MM</t>
  </si>
  <si>
    <t>CONECT. EN CODO 1/2NPT MANGUERA 8MM</t>
  </si>
  <si>
    <t>CONECT. EN CODO 1/2NPT MANGUERA 10MM</t>
  </si>
  <si>
    <t>CONECT. EN CODO 1/2NPT MANGUERA 12MM</t>
  </si>
  <si>
    <t>TE CON ROSCA 1/4NPT MANGUERA 6MM</t>
  </si>
  <si>
    <t>TE CON ROSCA 1/4NPT MANGUERA 8MM</t>
  </si>
  <si>
    <t>TE CON ROSCA 1/4NPT MANGUERA 10MM</t>
  </si>
  <si>
    <t>TE CON ROSCA 1/4NPT MANGUERA 12MM</t>
  </si>
  <si>
    <t>TE CON ROSCA 3/8NPT MANGUERA 6MM</t>
  </si>
  <si>
    <t>TE CON ROSCA 3/8NPT MANGUERA 8MM</t>
  </si>
  <si>
    <t>TE CON ROSCA 3/8NPT MANGUERA 10MM</t>
  </si>
  <si>
    <t>TE CON ROSCA 3/8NPT MANGUERA 12MM</t>
  </si>
  <si>
    <t>TE CON ROSCA 1/2NPT MANGUERA 6MM</t>
  </si>
  <si>
    <t>TE CON ROSCA 1/2NPT MANGUERA 8MM</t>
  </si>
  <si>
    <t>TE CON ROSCA 1/2NPT MANGUERA 10MM</t>
  </si>
  <si>
    <t>TE CON ROSCA 1/2NPT MANGUERA 12MM</t>
  </si>
  <si>
    <t>YE CON ROSCA 1/4NPT MANGUERA 6MM</t>
  </si>
  <si>
    <t>YE CON ROSCA 1/4NPT MANGUERA 8MM</t>
  </si>
  <si>
    <t>YE CON ROSCA 1/4NPT MANGUERA 10MM</t>
  </si>
  <si>
    <t>YE CON ROSCA 1/4NPT MANGUERA 12MM</t>
  </si>
  <si>
    <t>YE CON ROSCA 3/8NPT MANGUERA 6MM</t>
  </si>
  <si>
    <t>YE CON ROSCA 3/8NPT MANGUERA 8MM</t>
  </si>
  <si>
    <t>YE CON ROSCA 3/8NPT MANGUERA 10MM</t>
  </si>
  <si>
    <t>YE CON ROSCA 3/8NPT MANGUERA 12MM</t>
  </si>
  <si>
    <t>UNION RAPIDA PARA MANGUERA 4MM</t>
  </si>
  <si>
    <t>UNION RAPIDA PARA MANGUERA 16MM</t>
  </si>
  <si>
    <t>Mobel Inveriones</t>
  </si>
  <si>
    <t xml:space="preserve">DIRECCIÓN: Lagunillas Av Las Palmas, sector Pueblo Viejo pasos debajo de la </t>
  </si>
  <si>
    <t>plaza del cementerio</t>
  </si>
  <si>
    <t>Lagunillas / Merida / 5138</t>
  </si>
  <si>
    <t>DESCRIPCION</t>
  </si>
  <si>
    <t>MANGUERA PARA AIR BRAKE 4MM (300 PSI, +120°C)</t>
  </si>
  <si>
    <t>MANGUERA PARA AIR BRAKE 6MM (300 PSI, +120°C)</t>
  </si>
  <si>
    <t>MANGUERA PARA AIR BRAKE 8MM (300 PSI, +120°C)</t>
  </si>
  <si>
    <t>MANGUERA PARA AIR BRAKE 10MM (300 PSI, +120°C)</t>
  </si>
  <si>
    <t>MANGUERA PARA AIR BRAKE 12MM (300 PSI, +120°C)</t>
  </si>
  <si>
    <t>MANGUERA PARA AIR BRAKE 16MM (300 PSI, +120°C)</t>
  </si>
  <si>
    <t>ARANDELAS DE COBRE</t>
  </si>
  <si>
    <t>ARANDELAS DE COBRE 6MM</t>
  </si>
  <si>
    <t>ARANDELAS DE COBRE 8MM</t>
  </si>
  <si>
    <t>ARANDELAS DE COBRE 10MM</t>
  </si>
  <si>
    <t>ARANDELAS DE COBRE 12MM</t>
  </si>
  <si>
    <t>ARANDELAS DE COBRE 14MM</t>
  </si>
  <si>
    <t>ARANDELAS DE COBRE 16MM</t>
  </si>
  <si>
    <t>ARANDELAS DE COBRE 20MM</t>
  </si>
  <si>
    <t>ARANDELAS DE COBRE 22MM</t>
  </si>
  <si>
    <t>ARANDELAS DE COBRE 24MM</t>
  </si>
  <si>
    <t>ARANDELAS DE COBRE 26MM</t>
  </si>
  <si>
    <t>ARANDELAS DE COBRE 3/16</t>
  </si>
  <si>
    <t>ARANDELAS DE COBRE 1/4</t>
  </si>
  <si>
    <t>ARANDELAS DE COBRE 5/16</t>
  </si>
  <si>
    <t>ARANDELAS DE COBRE 3/8</t>
  </si>
  <si>
    <t>ARANDELAS DE COBRE 7/16</t>
  </si>
  <si>
    <t>ARANDELAS DE COBRE 1/2</t>
  </si>
  <si>
    <t>ARANDELAS DE COBRE 9/16</t>
  </si>
  <si>
    <t>ARANDELAS DE COBRE 5/8</t>
  </si>
  <si>
    <t>ARANDELAS DE COBRE 3/4</t>
  </si>
  <si>
    <t>ARANDELAS DE COBRE 7/8</t>
  </si>
  <si>
    <t>ARANDELAS DE COBRE 1"</t>
  </si>
  <si>
    <t>ARANDELAS DE COBRE 18MM</t>
  </si>
  <si>
    <t>TELÉFONO: +584120785753 / INSTAGRAM: @MOBELINVERSIONES</t>
  </si>
  <si>
    <t>ABRAZADERAS TIPO AMERICANAS</t>
  </si>
  <si>
    <t>ABRAZADERAS BANDA 8MM ACERO INOXIDABLE 10-16MM (AB-4)</t>
  </si>
  <si>
    <t>ABRAZADERAS BANDA 8MM ACERO INOXIDABLE 13-19MM (AB-6)</t>
  </si>
  <si>
    <t>ABRAZADERAS BANDA 8MM ACERO INOXIDABLE 16-25MM (AB-8)</t>
  </si>
  <si>
    <t>ABRAZADERAS BANDA 12MM ACERO INOXIDABLE 14-27MM (AB-10)</t>
  </si>
  <si>
    <t>ABRAZADERAS BANDA12MM ACERO INOXIDABLE 18-32MM (AB-12)</t>
  </si>
  <si>
    <t>ABRAZADERAS BANDA12MM ACERO INOXIDABLE 21-38MM (AB-16)</t>
  </si>
  <si>
    <t>ABRAZADERAS BANDA 12MM ACERO INOXIDABLE 21-44MM (AB-20)</t>
  </si>
  <si>
    <t>ABRAZADERAS BANDA 12MM ACERO INOXIDABLE 33-57MM (AB-24)</t>
  </si>
  <si>
    <t>ABRAZADERAS BANDA 12MM ACERO INOXIDABLE 40-63MM (AB-32)</t>
  </si>
  <si>
    <t>ABRAZADERAS BANDA 12MM ACERO INOXIDABLE 59-82MM (AB-48)</t>
  </si>
  <si>
    <t>MANGUERA DE AIR BRAKE (FRENO DE AIRE) NYLON</t>
  </si>
  <si>
    <t>Inventario</t>
  </si>
  <si>
    <t>CONECTORES RAPIDOS</t>
  </si>
  <si>
    <t>STOCK</t>
  </si>
  <si>
    <t>PRECIO VENTA</t>
  </si>
  <si>
    <t>PRECIO COSTO</t>
  </si>
  <si>
    <t>0</t>
  </si>
  <si>
    <t>5</t>
  </si>
  <si>
    <t>15</t>
  </si>
  <si>
    <t>30</t>
  </si>
  <si>
    <t>10</t>
  </si>
  <si>
    <t>20</t>
  </si>
  <si>
    <t>120</t>
  </si>
  <si>
    <t>25</t>
  </si>
  <si>
    <t>35</t>
  </si>
  <si>
    <t>40</t>
  </si>
  <si>
    <t>INVENTARIO PRECIO DE VENTA</t>
  </si>
  <si>
    <t>INVENTARIO EN PRECIO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</si>
</sst>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164" formatCode="\$0.00"/>
    <numFmt numFmtId="165" formatCode="\$#,##0.00;\-\$#,##0.00"/>
    <numFmt numFmtId="166" formatCode="_-[$$-540A]* #,##0.00_ ;_-[$$-540A]* \-#,##0.00\ ;_-[$$-540A]* &quot;-&quot;??_ ;_-@_ "/>
    <numFmt numFmtId="167" formatCode="_-[$$-540A]* #,##0.000_ ;_-[$$-540A]* \-#,##0.000\ ;_-[$$-540A]* &quot;-&quot;???_ ;_-@_ "/>
  </numFmts>
  <fonts count="19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7"/>
      <color rgb="FF000000"/>
      <name val="Microsoft YaHei"/>
      <family val="2"/>
    </font>
    <font>
      <u/>
      <sz val="10"/>
      <color rgb="FF000000"/>
      <name val="Times New Roman"/>
      <family val="1"/>
    </font>
    <font>
      <b/>
      <sz val="7"/>
      <name val="Arial"/>
      <family val="2"/>
    </font>
    <font>
      <sz val="10"/>
      <color rgb="FF000000"/>
      <name val="Times New Roman"/>
      <charset val="204"/>
    </font>
    <font>
      <sz val="10"/>
      <color theme="1"/>
      <name val="Century Gothic"/>
      <family val="1"/>
    </font>
    <font>
      <b/>
      <sz val="20"/>
      <color theme="1"/>
      <name val="Century Gothic"/>
      <family val="1"/>
    </font>
    <font>
      <b/>
      <sz val="16"/>
      <color theme="1"/>
      <name val="Century Gothic"/>
      <family val="1"/>
    </font>
    <font>
      <b/>
      <sz val="5.5"/>
      <name val="Arial Black"/>
      <family val="2"/>
    </font>
    <font>
      <b/>
      <sz val="5.5"/>
      <color rgb="FF000000"/>
      <name val="Arial Black"/>
      <family val="2"/>
    </font>
    <font>
      <b/>
      <sz val="7"/>
      <color rgb="FF000000"/>
      <name val="Arial"/>
      <family val="2"/>
    </font>
    <font>
      <b/>
      <i/>
      <u/>
      <sz val="14"/>
      <color rgb="FF000000"/>
      <name val="Arial Black"/>
      <family val="2"/>
    </font>
    <font>
      <sz val="10"/>
      <color theme="1"/>
      <name val="Times New Roman"/>
      <family val="1"/>
    </font>
    <font>
      <b/>
      <i/>
      <u/>
      <sz val="14"/>
      <color rgb="FF000000"/>
      <name val="Arial"/>
      <family val="2"/>
    </font>
    <font>
      <b/>
      <i/>
      <u/>
      <sz val="14"/>
      <color theme="1"/>
      <name val="Arial Black"/>
      <family val="2"/>
    </font>
    <font>
      <b/>
      <u/>
      <sz val="7"/>
      <color rgb="FF000000"/>
      <name val="Arial"/>
      <family val="2"/>
    </font>
    <font>
      <sz val="9"/>
      <name val="宋体"/>
      <charset val="134"/>
    </font>
    <font>
      <b/>
      <u val="singleAccounting"/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1" fillId="0" borderId="0">
      <alignment vertical="center"/>
    </xf>
    <xf numFmtId="0" fontId="17" fillId="0" borderId="0"/>
  </cellStyleXfs>
  <cellXfs count="89">
    <xf numFmtId="0" fontId="0" fillId="0" borderId="0" xfId="0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164" fontId="2" fillId="3" borderId="1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top"/>
    </xf>
    <xf numFmtId="164" fontId="2" fillId="4" borderId="1" xfId="0" applyNumberFormat="1" applyFont="1" applyFill="1" applyBorder="1" applyAlignment="1">
      <alignment horizontal="center" vertical="center" shrinkToFit="1"/>
    </xf>
    <xf numFmtId="164" fontId="2" fillId="3" borderId="0" xfId="0" applyNumberFormat="1" applyFont="1" applyFill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/>
    </xf>
    <xf numFmtId="164" fontId="2" fillId="3" borderId="0" xfId="0" applyNumberFormat="1" applyFont="1" applyFill="1" applyBorder="1" applyAlignment="1">
      <alignment horizontal="center" vertical="top" shrinkToFit="1"/>
    </xf>
    <xf numFmtId="164" fontId="2" fillId="4" borderId="1" xfId="0" applyNumberFormat="1" applyFont="1" applyFill="1" applyBorder="1" applyAlignment="1">
      <alignment horizontal="center" vertical="top" shrinkToFi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 readingOrder="1"/>
    </xf>
    <xf numFmtId="165" fontId="4" fillId="6" borderId="1" xfId="0" applyNumberFormat="1" applyFont="1" applyFill="1" applyBorder="1" applyAlignment="1">
      <alignment horizontal="center" vertical="center" readingOrder="1"/>
    </xf>
    <xf numFmtId="0" fontId="13" fillId="0" borderId="0" xfId="0" applyFont="1" applyFill="1" applyBorder="1" applyAlignment="1">
      <alignment vertical="top"/>
    </xf>
    <xf numFmtId="0" fontId="11" fillId="4" borderId="1" xfId="0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166" fontId="11" fillId="4" borderId="1" xfId="1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166" fontId="11" fillId="3" borderId="1" xfId="1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166" fontId="11" fillId="3" borderId="2" xfId="0" applyNumberFormat="1" applyFont="1" applyFill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3" borderId="12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164" fontId="11" fillId="4" borderId="14" xfId="2" applyNumberFormat="1" applyFont="1" applyFill="1" applyBorder="1" applyAlignment="1">
      <alignment horizontal="center" vertical="center" shrinkToFit="1"/>
    </xf>
    <xf numFmtId="164" fontId="11" fillId="0" borderId="14" xfId="2" applyNumberFormat="1" applyFont="1" applyFill="1" applyBorder="1" applyAlignment="1">
      <alignment horizontal="center" vertical="center" shrinkToFit="1"/>
    </xf>
    <xf numFmtId="164" fontId="11" fillId="4" borderId="1" xfId="2" applyNumberFormat="1" applyFont="1" applyFill="1" applyBorder="1" applyAlignment="1">
      <alignment horizontal="center" vertical="center" shrinkToFit="1"/>
    </xf>
    <xf numFmtId="164" fontId="11" fillId="0" borderId="15" xfId="2" applyNumberFormat="1" applyFont="1" applyFill="1" applyBorder="1" applyAlignment="1">
      <alignment horizontal="center" vertical="center" shrinkToFit="1"/>
    </xf>
    <xf numFmtId="167" fontId="11" fillId="0" borderId="1" xfId="0" applyNumberFormat="1" applyFont="1" applyFill="1" applyBorder="1" applyAlignment="1">
      <alignment horizontal="center" vertical="center"/>
    </xf>
    <xf numFmtId="167" fontId="11" fillId="4" borderId="1" xfId="1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167" fontId="11" fillId="0" borderId="2" xfId="1" applyNumberFormat="1" applyFont="1" applyFill="1" applyBorder="1" applyAlignment="1">
      <alignment horizontal="center" vertical="center"/>
    </xf>
    <xf numFmtId="165" fontId="4" fillId="6" borderId="1" xfId="3" applyNumberFormat="1" applyFont="1" applyFill="1" applyBorder="1" applyAlignment="1">
      <alignment horizontal="center" vertical="center" wrapText="1"/>
    </xf>
    <xf numFmtId="165" fontId="4" fillId="6" borderId="1" xfId="3" applyNumberFormat="1" applyFont="1" applyFill="1" applyBorder="1" applyAlignment="1">
      <alignment horizontal="center" vertical="center" wrapText="1" readingOrder="1"/>
    </xf>
    <xf numFmtId="165" fontId="4" fillId="6" borderId="1" xfId="3" applyNumberFormat="1" applyFont="1" applyFill="1" applyBorder="1" applyAlignment="1">
      <alignment horizontal="center" vertical="center" readingOrder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7" fontId="18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2"/>
    <cellStyle name="Normal 3" xf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webp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303591</xdr:colOff>
      <xdr:row>43</xdr:row>
      <xdr:rowOff>78468</xdr:rowOff>
    </xdr:from>
    <xdr:ext cx="874457" cy="698432"/>
    <xdr:pic>
      <xdr:nvPicPr>
        <xdr:cNvPr id="2" name="image1.jpeg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43" t="13652" r="4733" b="13566"/>
        <a:stretch/>
      </xdr:blipFill>
      <xdr:spPr>
        <a:xfrm>
          <a:off x="499534" y="8955768"/>
          <a:ext cx="874457" cy="698432"/>
        </a:xfrm>
        <a:prstGeom prst="rect">
          <a:avLst/>
        </a:prstGeom>
      </xdr:spPr>
    </xdr:pic>
    <xdr:clientData/>
  </xdr:oneCellAnchor>
  <xdr:oneCellAnchor>
    <xdr:from>
      <xdr:col>1</xdr:col>
      <xdr:colOff>337930</xdr:colOff>
      <xdr:row>48</xdr:row>
      <xdr:rowOff>44254</xdr:rowOff>
    </xdr:from>
    <xdr:ext cx="917254" cy="916229"/>
    <xdr:pic>
      <xdr:nvPicPr>
        <xdr:cNvPr id="5" name="image4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73" y="9955697"/>
          <a:ext cx="917254" cy="916229"/>
        </a:xfrm>
        <a:prstGeom prst="rect">
          <a:avLst/>
        </a:prstGeom>
      </xdr:spPr>
    </xdr:pic>
    <xdr:clientData/>
  </xdr:oneCellAnchor>
  <xdr:oneCellAnchor>
    <xdr:from>
      <xdr:col>1</xdr:col>
      <xdr:colOff>42333</xdr:colOff>
      <xdr:row>73</xdr:row>
      <xdr:rowOff>208879</xdr:rowOff>
    </xdr:from>
    <xdr:ext cx="1386416" cy="1397205"/>
    <xdr:pic>
      <xdr:nvPicPr>
        <xdr:cNvPr id="8" name="image7.jpeg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" y="14618087"/>
          <a:ext cx="1386416" cy="1397205"/>
        </a:xfrm>
        <a:prstGeom prst="rect">
          <a:avLst/>
        </a:prstGeom>
      </xdr:spPr>
    </xdr:pic>
    <xdr:clientData/>
  </xdr:oneCellAnchor>
  <xdr:oneCellAnchor>
    <xdr:from>
      <xdr:col>1</xdr:col>
      <xdr:colOff>258414</xdr:colOff>
      <xdr:row>67</xdr:row>
      <xdr:rowOff>141652</xdr:rowOff>
    </xdr:from>
    <xdr:ext cx="870547" cy="657263"/>
    <xdr:pic>
      <xdr:nvPicPr>
        <xdr:cNvPr id="9" name="image8.jpe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4" y="13280860"/>
          <a:ext cx="870547" cy="657263"/>
        </a:xfrm>
        <a:prstGeom prst="rect">
          <a:avLst/>
        </a:prstGeom>
      </xdr:spPr>
    </xdr:pic>
    <xdr:clientData/>
  </xdr:oneCellAnchor>
  <xdr:oneCellAnchor>
    <xdr:from>
      <xdr:col>1</xdr:col>
      <xdr:colOff>312208</xdr:colOff>
      <xdr:row>63</xdr:row>
      <xdr:rowOff>31751</xdr:rowOff>
    </xdr:from>
    <xdr:ext cx="714376" cy="762000"/>
    <xdr:pic>
      <xdr:nvPicPr>
        <xdr:cNvPr id="10" name="image9.jpeg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84" t="7114" r="10489" b="7525"/>
        <a:stretch/>
      </xdr:blipFill>
      <xdr:spPr>
        <a:xfrm>
          <a:off x="312208" y="12324293"/>
          <a:ext cx="714376" cy="762000"/>
        </a:xfrm>
        <a:prstGeom prst="rect">
          <a:avLst/>
        </a:prstGeom>
      </xdr:spPr>
    </xdr:pic>
    <xdr:clientData/>
  </xdr:oneCellAnchor>
  <xdr:oneCellAnchor>
    <xdr:from>
      <xdr:col>1</xdr:col>
      <xdr:colOff>356053</xdr:colOff>
      <xdr:row>59</xdr:row>
      <xdr:rowOff>42333</xdr:rowOff>
    </xdr:from>
    <xdr:ext cx="820208" cy="693209"/>
    <xdr:pic>
      <xdr:nvPicPr>
        <xdr:cNvPr id="11" name="image10.jpeg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5" t="16029" r="9950" b="18795"/>
        <a:stretch/>
      </xdr:blipFill>
      <xdr:spPr>
        <a:xfrm>
          <a:off x="551996" y="12647990"/>
          <a:ext cx="820208" cy="693209"/>
        </a:xfrm>
        <a:prstGeom prst="rect">
          <a:avLst/>
        </a:prstGeom>
      </xdr:spPr>
    </xdr:pic>
    <xdr:clientData/>
  </xdr:oneCellAnchor>
  <xdr:twoCellAnchor editAs="oneCell">
    <xdr:from>
      <xdr:col>1</xdr:col>
      <xdr:colOff>266701</xdr:colOff>
      <xdr:row>83</xdr:row>
      <xdr:rowOff>16207</xdr:rowOff>
    </xdr:from>
    <xdr:to>
      <xdr:col>1</xdr:col>
      <xdr:colOff>1143000</xdr:colOff>
      <xdr:row>87</xdr:row>
      <xdr:rowOff>177800</xdr:rowOff>
    </xdr:to>
    <xdr:pic>
      <xdr:nvPicPr>
        <xdr:cNvPr id="12" name="Imagen 11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49" t="5499" r="11536" b="10827"/>
        <a:stretch/>
      </xdr:blipFill>
      <xdr:spPr>
        <a:xfrm>
          <a:off x="266701" y="16119807"/>
          <a:ext cx="876299" cy="974394"/>
        </a:xfrm>
        <a:prstGeom prst="rect">
          <a:avLst/>
        </a:prstGeom>
      </xdr:spPr>
    </xdr:pic>
    <xdr:clientData/>
  </xdr:twoCellAnchor>
  <xdr:twoCellAnchor editAs="oneCell">
    <xdr:from>
      <xdr:col>1</xdr:col>
      <xdr:colOff>179918</xdr:colOff>
      <xdr:row>14</xdr:row>
      <xdr:rowOff>201083</xdr:rowOff>
    </xdr:from>
    <xdr:to>
      <xdr:col>1</xdr:col>
      <xdr:colOff>1247777</xdr:colOff>
      <xdr:row>19</xdr:row>
      <xdr:rowOff>202989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8" y="2545291"/>
          <a:ext cx="1067859" cy="1067859"/>
        </a:xfrm>
        <a:prstGeom prst="rect">
          <a:avLst/>
        </a:prstGeom>
      </xdr:spPr>
    </xdr:pic>
    <xdr:clientData/>
  </xdr:twoCellAnchor>
  <xdr:twoCellAnchor editAs="oneCell">
    <xdr:from>
      <xdr:col>1</xdr:col>
      <xdr:colOff>105834</xdr:colOff>
      <xdr:row>28</xdr:row>
      <xdr:rowOff>31750</xdr:rowOff>
    </xdr:from>
    <xdr:to>
      <xdr:col>1</xdr:col>
      <xdr:colOff>1348315</xdr:colOff>
      <xdr:row>34</xdr:row>
      <xdr:rowOff>4231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4" y="5339292"/>
          <a:ext cx="1242481" cy="1242481"/>
        </a:xfrm>
        <a:prstGeom prst="rect">
          <a:avLst/>
        </a:prstGeom>
      </xdr:spPr>
    </xdr:pic>
    <xdr:clientData/>
  </xdr:twoCellAnchor>
  <xdr:twoCellAnchor editAs="oneCell">
    <xdr:from>
      <xdr:col>1</xdr:col>
      <xdr:colOff>233439</xdr:colOff>
      <xdr:row>38</xdr:row>
      <xdr:rowOff>127001</xdr:rowOff>
    </xdr:from>
    <xdr:to>
      <xdr:col>1</xdr:col>
      <xdr:colOff>1127731</xdr:colOff>
      <xdr:row>41</xdr:row>
      <xdr:rowOff>95252</xdr:rowOff>
    </xdr:to>
    <xdr:pic>
      <xdr:nvPicPr>
        <xdr:cNvPr id="17" name="Imagen 16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2" t="21440" r="4917" b="13499"/>
        <a:stretch/>
      </xdr:blipFill>
      <xdr:spPr>
        <a:xfrm>
          <a:off x="233439" y="7747001"/>
          <a:ext cx="894292" cy="588736"/>
        </a:xfrm>
        <a:prstGeom prst="rect">
          <a:avLst/>
        </a:prstGeom>
      </xdr:spPr>
    </xdr:pic>
    <xdr:clientData/>
  </xdr:twoCellAnchor>
  <xdr:twoCellAnchor editAs="oneCell">
    <xdr:from>
      <xdr:col>1</xdr:col>
      <xdr:colOff>295729</xdr:colOff>
      <xdr:row>92</xdr:row>
      <xdr:rowOff>59871</xdr:rowOff>
    </xdr:from>
    <xdr:to>
      <xdr:col>1</xdr:col>
      <xdr:colOff>1274253</xdr:colOff>
      <xdr:row>98</xdr:row>
      <xdr:rowOff>92528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33" t="7573" r="16394" b="8705"/>
        <a:stretch/>
      </xdr:blipFill>
      <xdr:spPr>
        <a:xfrm>
          <a:off x="491672" y="19490871"/>
          <a:ext cx="978524" cy="1273629"/>
        </a:xfrm>
        <a:prstGeom prst="rect">
          <a:avLst/>
        </a:prstGeom>
      </xdr:spPr>
    </xdr:pic>
    <xdr:clientData/>
  </xdr:twoCellAnchor>
  <xdr:twoCellAnchor editAs="oneCell">
    <xdr:from>
      <xdr:col>5</xdr:col>
      <xdr:colOff>718458</xdr:colOff>
      <xdr:row>0</xdr:row>
      <xdr:rowOff>65314</xdr:rowOff>
    </xdr:from>
    <xdr:to>
      <xdr:col>6</xdr:col>
      <xdr:colOff>601472</xdr:colOff>
      <xdr:row>2</xdr:row>
      <xdr:rowOff>68370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28" t="24179" r="16740" b="22647"/>
        <a:stretch/>
      </xdr:blipFill>
      <xdr:spPr>
        <a:xfrm>
          <a:off x="6493329" y="65314"/>
          <a:ext cx="688556" cy="5691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18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19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20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21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22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23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7620</xdr:colOff>
      <xdr:row>153</xdr:row>
      <xdr:rowOff>15240</xdr:rowOff>
    </xdr:to>
    <xdr:pic>
      <xdr:nvPicPr>
        <xdr:cNvPr id="24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3129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25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26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27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28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29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30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7620</xdr:colOff>
      <xdr:row>154</xdr:row>
      <xdr:rowOff>15240</xdr:rowOff>
    </xdr:to>
    <xdr:pic>
      <xdr:nvPicPr>
        <xdr:cNvPr id="31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47701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2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3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4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5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6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7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7620</xdr:colOff>
      <xdr:row>152</xdr:row>
      <xdr:rowOff>15240</xdr:rowOff>
    </xdr:to>
    <xdr:pic>
      <xdr:nvPicPr>
        <xdr:cNvPr id="38" name="䌰㈵㜷䔷䈸㥂㔴ぃ㑂䅄㔰ㅂ䉃㌷䙅䔶" descr="NewPictur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3855720"/>
          <a:ext cx="7620" cy="15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185058</xdr:colOff>
      <xdr:row>152</xdr:row>
      <xdr:rowOff>10884</xdr:rowOff>
    </xdr:from>
    <xdr:to>
      <xdr:col>2</xdr:col>
      <xdr:colOff>1041</xdr:colOff>
      <xdr:row>157</xdr:row>
      <xdr:rowOff>188945</xdr:rowOff>
    </xdr:to>
    <xdr:pic>
      <xdr:nvPicPr>
        <xdr:cNvPr id="6" name="Imagen 5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688"/>
        <a:stretch/>
      </xdr:blipFill>
      <xdr:spPr>
        <a:xfrm>
          <a:off x="381001" y="22544313"/>
          <a:ext cx="1372640" cy="1212204"/>
        </a:xfrm>
        <a:prstGeom prst="rect">
          <a:avLst/>
        </a:prstGeom>
      </xdr:spPr>
    </xdr:pic>
    <xdr:clientData/>
  </xdr:twoCellAnchor>
  <xdr:twoCellAnchor editAs="oneCell">
    <xdr:from>
      <xdr:col>1</xdr:col>
      <xdr:colOff>54430</xdr:colOff>
      <xdr:row>119</xdr:row>
      <xdr:rowOff>647</xdr:rowOff>
    </xdr:from>
    <xdr:to>
      <xdr:col>1</xdr:col>
      <xdr:colOff>1534109</xdr:colOff>
      <xdr:row>124</xdr:row>
      <xdr:rowOff>10886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3" y="26256990"/>
          <a:ext cx="1479679" cy="1044382"/>
        </a:xfrm>
        <a:prstGeom prst="rect">
          <a:avLst/>
        </a:prstGeom>
      </xdr:spPr>
    </xdr:pic>
    <xdr:clientData/>
  </xdr:twoCellAnchor>
  <xdr:twoCellAnchor editAs="oneCell">
    <xdr:from>
      <xdr:col>1</xdr:col>
      <xdr:colOff>141515</xdr:colOff>
      <xdr:row>139</xdr:row>
      <xdr:rowOff>70757</xdr:rowOff>
    </xdr:from>
    <xdr:to>
      <xdr:col>1</xdr:col>
      <xdr:colOff>1496787</xdr:colOff>
      <xdr:row>145</xdr:row>
      <xdr:rowOff>185058</xdr:rowOff>
    </xdr:to>
    <xdr:pic>
      <xdr:nvPicPr>
        <xdr:cNvPr id="39" name="Imagen 3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458" y="32738786"/>
          <a:ext cx="1355272" cy="1355272"/>
        </a:xfrm>
        <a:prstGeom prst="rect">
          <a:avLst/>
        </a:prstGeom>
      </xdr:spPr>
    </xdr:pic>
    <xdr:clientData/>
  </xdr:twoCellAnchor>
  <xdr:oneCellAnchor>
    <xdr:from>
      <xdr:col>1</xdr:col>
      <xdr:colOff>381000</xdr:colOff>
      <xdr:row>54</xdr:row>
      <xdr:rowOff>16329</xdr:rowOff>
    </xdr:from>
    <xdr:ext cx="917254" cy="916229"/>
    <xdr:pic>
      <xdr:nvPicPr>
        <xdr:cNvPr id="40" name="image4.jpe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82400"/>
          <a:ext cx="917254" cy="916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74"/>
  <sheetViews>
    <sheetView tabSelected="1" topLeftCell="A115" zoomScale="140" zoomScaleNormal="140" workbookViewId="0">
      <selection activeCell="F128" sqref="F128"/>
    </sheetView>
  </sheetViews>
  <sheetFormatPr baseColWidth="10" defaultColWidth="8.77734375" defaultRowHeight="13.2"/>
  <cols>
    <col min="1" max="1" width="2.88671875" customWidth="1"/>
    <col min="2" max="2" width="22.6640625" customWidth="1"/>
    <col min="3" max="3" width="49.77734375" customWidth="1"/>
    <col min="4" max="4" width="8.88671875" customWidth="1"/>
    <col min="5" max="5" width="11" customWidth="1"/>
    <col min="6" max="6" width="11.77734375" customWidth="1"/>
    <col min="7" max="7" width="10.109375" customWidth="1"/>
  </cols>
  <sheetData>
    <row r="1" spans="2:10" ht="24">
      <c r="B1" s="60" t="s">
        <v>141</v>
      </c>
      <c r="C1" s="60"/>
      <c r="D1" s="18"/>
      <c r="E1" s="18"/>
      <c r="F1" s="18"/>
      <c r="G1" s="18"/>
    </row>
    <row r="2" spans="2:10" ht="20.399999999999999">
      <c r="B2" s="69" t="s">
        <v>94</v>
      </c>
      <c r="C2" s="69"/>
      <c r="D2" s="18"/>
      <c r="E2" s="18"/>
      <c r="F2" s="18"/>
      <c r="G2" s="18"/>
    </row>
    <row r="3" spans="2:10" ht="24.6" customHeight="1">
      <c r="B3" s="70" t="s">
        <v>95</v>
      </c>
      <c r="C3" s="70"/>
      <c r="D3" s="18"/>
      <c r="E3" s="18"/>
      <c r="F3" s="18"/>
      <c r="G3" s="18"/>
    </row>
    <row r="4" spans="2:10" ht="24.6" customHeight="1">
      <c r="B4" s="70" t="s">
        <v>96</v>
      </c>
      <c r="C4" s="70"/>
      <c r="D4" s="18"/>
      <c r="E4" s="18"/>
      <c r="F4" s="18"/>
      <c r="G4" s="18"/>
    </row>
    <row r="5" spans="2:10" ht="22.2" customHeight="1">
      <c r="B5" s="70" t="s">
        <v>97</v>
      </c>
      <c r="C5" s="70"/>
      <c r="D5" s="18"/>
      <c r="E5" s="18"/>
      <c r="F5" s="18"/>
      <c r="G5" s="18"/>
    </row>
    <row r="6" spans="2:10" ht="21.6" customHeight="1">
      <c r="B6" s="70" t="s">
        <v>128</v>
      </c>
      <c r="C6" s="70"/>
      <c r="D6" s="18"/>
      <c r="E6" s="18"/>
      <c r="F6" s="18"/>
      <c r="G6" s="18"/>
    </row>
    <row r="7" spans="2:10" ht="21.6" customHeight="1">
      <c r="B7" s="67" t="s">
        <v>142</v>
      </c>
      <c r="C7" s="67"/>
      <c r="D7" s="67"/>
      <c r="E7" s="67"/>
      <c r="F7" s="67"/>
      <c r="G7" s="67"/>
    </row>
    <row r="8" spans="2:10" ht="21.6" customHeight="1">
      <c r="B8" s="67"/>
      <c r="C8" s="67"/>
      <c r="D8" s="67"/>
      <c r="E8" s="67"/>
      <c r="F8" s="67"/>
      <c r="G8" s="67"/>
    </row>
    <row r="9" spans="2:10" ht="21.6" customHeight="1">
      <c r="B9" s="68"/>
      <c r="C9" s="68"/>
      <c r="D9" s="68"/>
      <c r="E9" s="68"/>
      <c r="F9" s="68"/>
      <c r="G9" s="68"/>
    </row>
    <row r="10" spans="2:10" ht="24.75" customHeight="1">
      <c r="B10" s="11" t="s">
        <v>63</v>
      </c>
      <c r="C10" s="12" t="s">
        <v>98</v>
      </c>
      <c r="D10" s="41" t="s">
        <v>143</v>
      </c>
      <c r="E10" s="11" t="s">
        <v>145</v>
      </c>
      <c r="F10" s="11" t="s">
        <v>144</v>
      </c>
      <c r="G10" s="11" t="s">
        <v>156</v>
      </c>
    </row>
    <row r="11" spans="2:10" ht="16.5" customHeight="1">
      <c r="B11" s="64"/>
      <c r="C11" s="36" t="s">
        <v>1</v>
      </c>
      <c r="D11" s="44" t="s">
        <v>146</v>
      </c>
      <c r="E11" s="46">
        <v>0.12</v>
      </c>
      <c r="F11" s="1">
        <v>1.2</v>
      </c>
      <c r="G11" s="1">
        <f>(D11*F11)</f>
        <v>0</v>
      </c>
      <c r="J11" s="4"/>
    </row>
    <row r="12" spans="2:10" ht="16.5" customHeight="1">
      <c r="B12" s="64"/>
      <c r="C12" s="36" t="s">
        <v>2</v>
      </c>
      <c r="D12" s="44" t="s">
        <v>146</v>
      </c>
      <c r="E12" s="46">
        <v>0.12</v>
      </c>
      <c r="F12" s="1">
        <v>1.4</v>
      </c>
      <c r="G12" s="1">
        <f t="shared" ref="G12:G14" si="0">(D12*F12)</f>
        <v>0</v>
      </c>
    </row>
    <row r="13" spans="2:10" ht="16.5" customHeight="1">
      <c r="B13" s="64"/>
      <c r="C13" s="36" t="s">
        <v>3</v>
      </c>
      <c r="D13" s="44" t="s">
        <v>146</v>
      </c>
      <c r="E13" s="46">
        <v>0.24</v>
      </c>
      <c r="F13" s="1">
        <v>1.8</v>
      </c>
      <c r="G13" s="1">
        <f t="shared" si="0"/>
        <v>0</v>
      </c>
    </row>
    <row r="14" spans="2:10" ht="16.5" customHeight="1">
      <c r="B14" s="64"/>
      <c r="C14" s="36" t="s">
        <v>0</v>
      </c>
      <c r="D14" s="44" t="s">
        <v>147</v>
      </c>
      <c r="E14" s="46">
        <v>0.14000000000000001</v>
      </c>
      <c r="F14" s="1">
        <v>1.44</v>
      </c>
      <c r="G14" s="1">
        <f t="shared" si="0"/>
        <v>7.1999999999999993</v>
      </c>
    </row>
    <row r="15" spans="2:10" ht="16.5" customHeight="1">
      <c r="B15" s="64"/>
      <c r="C15" s="36" t="s">
        <v>9</v>
      </c>
      <c r="D15" s="44" t="s">
        <v>148</v>
      </c>
      <c r="E15" s="46">
        <v>0.14000000000000001</v>
      </c>
      <c r="F15" s="1">
        <v>1.84</v>
      </c>
      <c r="G15" s="1">
        <f t="shared" ref="G15:G80" si="1">(D15*F15)</f>
        <v>27.6</v>
      </c>
    </row>
    <row r="16" spans="2:10" ht="16.5" customHeight="1">
      <c r="B16" s="64"/>
      <c r="C16" s="36" t="s">
        <v>10</v>
      </c>
      <c r="D16" s="44" t="s">
        <v>146</v>
      </c>
      <c r="E16" s="46">
        <v>0.22</v>
      </c>
      <c r="F16" s="1">
        <v>1.91</v>
      </c>
      <c r="G16" s="1">
        <f t="shared" si="1"/>
        <v>0</v>
      </c>
    </row>
    <row r="17" spans="2:7" ht="16.5" customHeight="1">
      <c r="B17" s="64"/>
      <c r="C17" s="36" t="s">
        <v>64</v>
      </c>
      <c r="D17" s="44" t="s">
        <v>149</v>
      </c>
      <c r="E17" s="46">
        <v>0.26</v>
      </c>
      <c r="F17" s="1">
        <v>3.16</v>
      </c>
      <c r="G17" s="1">
        <f t="shared" si="1"/>
        <v>94.800000000000011</v>
      </c>
    </row>
    <row r="18" spans="2:7" ht="16.5" customHeight="1">
      <c r="B18" s="64"/>
      <c r="C18" s="36" t="s">
        <v>11</v>
      </c>
      <c r="D18" s="44" t="s">
        <v>146</v>
      </c>
      <c r="E18" s="46">
        <v>0.26</v>
      </c>
      <c r="F18" s="1">
        <v>1.44</v>
      </c>
      <c r="G18" s="1">
        <f t="shared" si="1"/>
        <v>0</v>
      </c>
    </row>
    <row r="19" spans="2:7" ht="16.5" customHeight="1">
      <c r="B19" s="64"/>
      <c r="C19" s="36" t="s">
        <v>12</v>
      </c>
      <c r="D19" s="44" t="s">
        <v>147</v>
      </c>
      <c r="E19" s="46">
        <v>0.22</v>
      </c>
      <c r="F19" s="1">
        <v>2.06</v>
      </c>
      <c r="G19" s="1">
        <f t="shared" si="1"/>
        <v>10.3</v>
      </c>
    </row>
    <row r="20" spans="2:7" ht="16.5" customHeight="1">
      <c r="B20" s="64"/>
      <c r="C20" s="36" t="s">
        <v>13</v>
      </c>
      <c r="D20" s="44" t="s">
        <v>146</v>
      </c>
      <c r="E20" s="46">
        <v>0.19</v>
      </c>
      <c r="F20" s="1">
        <v>2.35</v>
      </c>
      <c r="G20" s="1">
        <f t="shared" si="1"/>
        <v>0</v>
      </c>
    </row>
    <row r="21" spans="2:7" ht="16.5" customHeight="1">
      <c r="B21" s="64"/>
      <c r="C21" s="36" t="s">
        <v>18</v>
      </c>
      <c r="D21" s="44" t="s">
        <v>146</v>
      </c>
      <c r="E21" s="46">
        <v>0.26</v>
      </c>
      <c r="F21" s="1">
        <v>3.46</v>
      </c>
      <c r="G21" s="1">
        <f t="shared" si="1"/>
        <v>0</v>
      </c>
    </row>
    <row r="22" spans="2:7" ht="16.5" customHeight="1">
      <c r="B22" s="64"/>
      <c r="C22" s="36" t="s">
        <v>19</v>
      </c>
      <c r="D22" s="44" t="s">
        <v>146</v>
      </c>
      <c r="E22" s="46">
        <v>0.35</v>
      </c>
      <c r="F22" s="1">
        <v>2.85</v>
      </c>
      <c r="G22" s="1">
        <f t="shared" si="1"/>
        <v>0</v>
      </c>
    </row>
    <row r="23" spans="2:7" ht="16.5" customHeight="1">
      <c r="B23" s="64"/>
      <c r="C23" s="36" t="s">
        <v>20</v>
      </c>
      <c r="D23" s="44" t="s">
        <v>146</v>
      </c>
      <c r="E23" s="46">
        <v>0.35</v>
      </c>
      <c r="F23" s="1">
        <v>3.16</v>
      </c>
      <c r="G23" s="1">
        <f t="shared" si="1"/>
        <v>0</v>
      </c>
    </row>
    <row r="24" spans="2:7" ht="16.5" customHeight="1">
      <c r="B24" s="64"/>
      <c r="C24" s="36" t="s">
        <v>21</v>
      </c>
      <c r="D24" s="44" t="s">
        <v>146</v>
      </c>
      <c r="E24" s="46">
        <v>0.35</v>
      </c>
      <c r="F24" s="1">
        <v>3.16</v>
      </c>
      <c r="G24" s="1">
        <f t="shared" si="1"/>
        <v>0</v>
      </c>
    </row>
    <row r="25" spans="2:7" ht="16.5" customHeight="1">
      <c r="B25" s="64"/>
      <c r="C25" s="36" t="s">
        <v>22</v>
      </c>
      <c r="D25" s="44" t="s">
        <v>146</v>
      </c>
      <c r="E25" s="46">
        <v>0.35</v>
      </c>
      <c r="F25" s="1">
        <v>3.75</v>
      </c>
      <c r="G25" s="1">
        <f t="shared" si="1"/>
        <v>0</v>
      </c>
    </row>
    <row r="26" spans="2:7" ht="16.5" customHeight="1">
      <c r="B26" s="64"/>
      <c r="C26" s="37" t="s">
        <v>65</v>
      </c>
      <c r="D26" s="42" t="s">
        <v>146</v>
      </c>
      <c r="E26" s="47">
        <v>0.23</v>
      </c>
      <c r="F26" s="2">
        <v>2.25</v>
      </c>
      <c r="G26" s="3">
        <f t="shared" si="1"/>
        <v>0</v>
      </c>
    </row>
    <row r="27" spans="2:7" ht="16.5" customHeight="1">
      <c r="B27" s="64"/>
      <c r="C27" s="37" t="s">
        <v>4</v>
      </c>
      <c r="D27" s="42" t="s">
        <v>150</v>
      </c>
      <c r="E27" s="47">
        <v>0.22</v>
      </c>
      <c r="F27" s="2">
        <v>2.4500000000000002</v>
      </c>
      <c r="G27" s="3">
        <f t="shared" si="1"/>
        <v>24.5</v>
      </c>
    </row>
    <row r="28" spans="2:7" ht="16.5" customHeight="1">
      <c r="B28" s="64"/>
      <c r="C28" s="37" t="s">
        <v>5</v>
      </c>
      <c r="D28" s="42" t="s">
        <v>146</v>
      </c>
      <c r="E28" s="47">
        <v>0.26</v>
      </c>
      <c r="F28" s="2">
        <v>2.59</v>
      </c>
      <c r="G28" s="3">
        <f t="shared" si="1"/>
        <v>0</v>
      </c>
    </row>
    <row r="29" spans="2:7" ht="16.5" customHeight="1">
      <c r="B29" s="64"/>
      <c r="C29" s="37" t="s">
        <v>66</v>
      </c>
      <c r="D29" s="42" t="s">
        <v>151</v>
      </c>
      <c r="E29" s="47">
        <v>0.35</v>
      </c>
      <c r="F29" s="2">
        <v>3.31</v>
      </c>
      <c r="G29" s="3">
        <f t="shared" si="1"/>
        <v>66.2</v>
      </c>
    </row>
    <row r="30" spans="2:7" ht="16.5" customHeight="1">
      <c r="B30" s="64"/>
      <c r="C30" s="37" t="s">
        <v>6</v>
      </c>
      <c r="D30" s="42" t="s">
        <v>146</v>
      </c>
      <c r="E30" s="47">
        <v>0.26</v>
      </c>
      <c r="F30" s="2">
        <v>2.59</v>
      </c>
      <c r="G30" s="3">
        <f t="shared" si="1"/>
        <v>0</v>
      </c>
    </row>
    <row r="31" spans="2:7" ht="16.5" customHeight="1">
      <c r="B31" s="64"/>
      <c r="C31" s="37" t="s">
        <v>7</v>
      </c>
      <c r="D31" s="42" t="s">
        <v>147</v>
      </c>
      <c r="E31" s="47">
        <v>0.25</v>
      </c>
      <c r="F31" s="2">
        <v>2.59</v>
      </c>
      <c r="G31" s="3">
        <f t="shared" si="1"/>
        <v>12.95</v>
      </c>
    </row>
    <row r="32" spans="2:7" ht="16.5" customHeight="1">
      <c r="B32" s="64"/>
      <c r="C32" s="37" t="s">
        <v>8</v>
      </c>
      <c r="D32" s="42" t="s">
        <v>146</v>
      </c>
      <c r="E32" s="47">
        <v>0.35</v>
      </c>
      <c r="F32" s="2">
        <v>2.87</v>
      </c>
      <c r="G32" s="3">
        <f t="shared" si="1"/>
        <v>0</v>
      </c>
    </row>
    <row r="33" spans="2:7" ht="16.5" customHeight="1">
      <c r="B33" s="64"/>
      <c r="C33" s="37" t="s">
        <v>67</v>
      </c>
      <c r="D33" s="42" t="s">
        <v>147</v>
      </c>
      <c r="E33" s="47">
        <v>0.35</v>
      </c>
      <c r="F33" s="2">
        <v>3.59</v>
      </c>
      <c r="G33" s="3">
        <f t="shared" si="1"/>
        <v>17.95</v>
      </c>
    </row>
    <row r="34" spans="2:7" ht="16.5" customHeight="1">
      <c r="B34" s="64"/>
      <c r="C34" s="37" t="s">
        <v>68</v>
      </c>
      <c r="D34" s="42" t="s">
        <v>150</v>
      </c>
      <c r="E34" s="47">
        <v>0.35</v>
      </c>
      <c r="F34" s="2">
        <v>3.25</v>
      </c>
      <c r="G34" s="3">
        <f t="shared" si="1"/>
        <v>32.5</v>
      </c>
    </row>
    <row r="35" spans="2:7" ht="16.5" customHeight="1">
      <c r="B35" s="64"/>
      <c r="C35" s="37" t="s">
        <v>69</v>
      </c>
      <c r="D35" s="42" t="s">
        <v>150</v>
      </c>
      <c r="E35" s="47">
        <v>0.39</v>
      </c>
      <c r="F35" s="2">
        <v>3.42</v>
      </c>
      <c r="G35" s="3">
        <f t="shared" si="1"/>
        <v>34.200000000000003</v>
      </c>
    </row>
    <row r="36" spans="2:7" ht="16.5" customHeight="1">
      <c r="B36" s="64"/>
      <c r="C36" s="37" t="s">
        <v>70</v>
      </c>
      <c r="D36" s="42" t="s">
        <v>147</v>
      </c>
      <c r="E36" s="47">
        <v>0.35</v>
      </c>
      <c r="F36" s="2">
        <v>3.58</v>
      </c>
      <c r="G36" s="3">
        <f t="shared" si="1"/>
        <v>17.899999999999999</v>
      </c>
    </row>
    <row r="37" spans="2:7" ht="16.5" customHeight="1">
      <c r="B37" s="64"/>
      <c r="C37" s="37" t="s">
        <v>71</v>
      </c>
      <c r="D37" s="42" t="s">
        <v>148</v>
      </c>
      <c r="E37" s="47">
        <v>0.39</v>
      </c>
      <c r="F37" s="2">
        <v>3.75</v>
      </c>
      <c r="G37" s="3">
        <f t="shared" si="1"/>
        <v>56.25</v>
      </c>
    </row>
    <row r="38" spans="2:7" ht="16.5" customHeight="1">
      <c r="B38" s="64"/>
      <c r="C38" s="36" t="s">
        <v>92</v>
      </c>
      <c r="D38" s="44" t="s">
        <v>146</v>
      </c>
      <c r="E38" s="48">
        <v>0.15</v>
      </c>
      <c r="F38" s="1">
        <v>0.78</v>
      </c>
      <c r="G38" s="1">
        <f t="shared" si="1"/>
        <v>0</v>
      </c>
    </row>
    <row r="39" spans="2:7" ht="16.5" customHeight="1">
      <c r="B39" s="64"/>
      <c r="C39" s="36" t="s">
        <v>15</v>
      </c>
      <c r="D39" s="45" t="s">
        <v>151</v>
      </c>
      <c r="E39" s="48">
        <v>0.14000000000000001</v>
      </c>
      <c r="F39" s="1">
        <v>0.98</v>
      </c>
      <c r="G39" s="1">
        <f t="shared" si="1"/>
        <v>19.600000000000001</v>
      </c>
    </row>
    <row r="40" spans="2:7" ht="16.5" customHeight="1">
      <c r="B40" s="64"/>
      <c r="C40" s="36" t="s">
        <v>16</v>
      </c>
      <c r="D40" s="44" t="s">
        <v>146</v>
      </c>
      <c r="E40" s="48">
        <v>0.14000000000000001</v>
      </c>
      <c r="F40" s="1">
        <v>1.1599999999999999</v>
      </c>
      <c r="G40" s="1">
        <f t="shared" si="1"/>
        <v>0</v>
      </c>
    </row>
    <row r="41" spans="2:7" ht="16.5" customHeight="1">
      <c r="B41" s="64"/>
      <c r="C41" s="36" t="s">
        <v>17</v>
      </c>
      <c r="D41" s="44" t="s">
        <v>150</v>
      </c>
      <c r="E41" s="48">
        <v>0.14000000000000001</v>
      </c>
      <c r="F41" s="1">
        <v>1.26</v>
      </c>
      <c r="G41" s="1">
        <f t="shared" si="1"/>
        <v>12.6</v>
      </c>
    </row>
    <row r="42" spans="2:7" ht="16.5" customHeight="1">
      <c r="B42" s="64"/>
      <c r="C42" s="36" t="s">
        <v>14</v>
      </c>
      <c r="D42" s="44" t="s">
        <v>152</v>
      </c>
      <c r="E42" s="48">
        <v>0.16</v>
      </c>
      <c r="F42" s="1">
        <v>1.44</v>
      </c>
      <c r="G42" s="1">
        <f t="shared" si="1"/>
        <v>172.79999999999998</v>
      </c>
    </row>
    <row r="43" spans="2:7" ht="16.5" customHeight="1">
      <c r="B43" s="64"/>
      <c r="C43" s="36" t="s">
        <v>93</v>
      </c>
      <c r="D43" s="44" t="s">
        <v>146</v>
      </c>
      <c r="E43" s="48">
        <v>0.25</v>
      </c>
      <c r="F43" s="1">
        <v>2.2000000000000002</v>
      </c>
      <c r="G43" s="1">
        <f t="shared" si="1"/>
        <v>0</v>
      </c>
    </row>
    <row r="44" spans="2:7" ht="16.5" customHeight="1">
      <c r="B44" s="64"/>
      <c r="C44" s="37" t="s">
        <v>23</v>
      </c>
      <c r="D44" s="42" t="s">
        <v>146</v>
      </c>
      <c r="E44" s="47">
        <v>0.12</v>
      </c>
      <c r="F44" s="2">
        <v>1.29</v>
      </c>
      <c r="G44" s="3">
        <f t="shared" si="1"/>
        <v>0</v>
      </c>
    </row>
    <row r="45" spans="2:7" ht="16.5" customHeight="1">
      <c r="B45" s="64"/>
      <c r="C45" s="37" t="s">
        <v>24</v>
      </c>
      <c r="D45" s="42" t="s">
        <v>146</v>
      </c>
      <c r="E45" s="47">
        <v>0.12</v>
      </c>
      <c r="F45" s="2">
        <v>1.4</v>
      </c>
      <c r="G45" s="3">
        <f t="shared" si="1"/>
        <v>0</v>
      </c>
    </row>
    <row r="46" spans="2:7" ht="16.5" customHeight="1">
      <c r="B46" s="64"/>
      <c r="C46" s="37" t="s">
        <v>25</v>
      </c>
      <c r="D46" s="42" t="s">
        <v>146</v>
      </c>
      <c r="E46" s="47">
        <v>0.22</v>
      </c>
      <c r="F46" s="2">
        <v>1.88</v>
      </c>
      <c r="G46" s="3">
        <f t="shared" si="1"/>
        <v>0</v>
      </c>
    </row>
    <row r="47" spans="2:7" ht="16.5" customHeight="1">
      <c r="B47" s="64"/>
      <c r="C47" s="37" t="s">
        <v>26</v>
      </c>
      <c r="D47" s="42" t="s">
        <v>146</v>
      </c>
      <c r="E47" s="47">
        <v>0.25</v>
      </c>
      <c r="F47" s="2">
        <v>2.06</v>
      </c>
      <c r="G47" s="3">
        <f t="shared" si="1"/>
        <v>0</v>
      </c>
    </row>
    <row r="48" spans="2:7" ht="16.5" customHeight="1">
      <c r="B48" s="65"/>
      <c r="C48" s="36" t="s">
        <v>72</v>
      </c>
      <c r="D48" s="44" t="s">
        <v>147</v>
      </c>
      <c r="E48" s="46">
        <v>0.26</v>
      </c>
      <c r="F48" s="1">
        <v>2.2200000000000002</v>
      </c>
      <c r="G48" s="1">
        <f t="shared" si="1"/>
        <v>11.100000000000001</v>
      </c>
    </row>
    <row r="49" spans="2:7" ht="16.5" customHeight="1">
      <c r="B49" s="65"/>
      <c r="C49" s="36" t="s">
        <v>73</v>
      </c>
      <c r="D49" s="44" t="s">
        <v>148</v>
      </c>
      <c r="E49" s="46">
        <v>0.32</v>
      </c>
      <c r="F49" s="1">
        <v>2.4500000000000002</v>
      </c>
      <c r="G49" s="1">
        <f t="shared" si="1"/>
        <v>36.75</v>
      </c>
    </row>
    <row r="50" spans="2:7" ht="16.5" customHeight="1">
      <c r="B50" s="65"/>
      <c r="C50" s="36" t="s">
        <v>74</v>
      </c>
      <c r="D50" s="44" t="s">
        <v>146</v>
      </c>
      <c r="E50" s="46">
        <v>0.39</v>
      </c>
      <c r="F50" s="1">
        <v>2.94</v>
      </c>
      <c r="G50" s="1">
        <f t="shared" si="1"/>
        <v>0</v>
      </c>
    </row>
    <row r="51" spans="2:7" ht="16.5" customHeight="1">
      <c r="B51" s="65"/>
      <c r="C51" s="36" t="s">
        <v>75</v>
      </c>
      <c r="D51" s="44" t="s">
        <v>151</v>
      </c>
      <c r="E51" s="46">
        <v>0.45</v>
      </c>
      <c r="F51" s="1">
        <v>3.31</v>
      </c>
      <c r="G51" s="1">
        <f t="shared" si="1"/>
        <v>66.2</v>
      </c>
    </row>
    <row r="52" spans="2:7" ht="16.5" customHeight="1">
      <c r="B52" s="65"/>
      <c r="C52" s="36" t="s">
        <v>76</v>
      </c>
      <c r="D52" s="44" t="s">
        <v>146</v>
      </c>
      <c r="E52" s="46">
        <v>0.35</v>
      </c>
      <c r="F52" s="1">
        <v>2.79</v>
      </c>
      <c r="G52" s="1">
        <f t="shared" si="1"/>
        <v>0</v>
      </c>
    </row>
    <row r="53" spans="2:7" ht="16.5" customHeight="1">
      <c r="B53" s="65"/>
      <c r="C53" s="36" t="s">
        <v>77</v>
      </c>
      <c r="D53" s="44" t="s">
        <v>148</v>
      </c>
      <c r="E53" s="46">
        <v>0.39</v>
      </c>
      <c r="F53" s="1">
        <v>3.1</v>
      </c>
      <c r="G53" s="1">
        <f t="shared" si="1"/>
        <v>46.5</v>
      </c>
    </row>
    <row r="54" spans="2:7" ht="16.5" customHeight="1">
      <c r="B54" s="65"/>
      <c r="C54" s="36" t="s">
        <v>78</v>
      </c>
      <c r="D54" s="44" t="s">
        <v>146</v>
      </c>
      <c r="E54" s="46">
        <v>0.35</v>
      </c>
      <c r="F54" s="1">
        <v>3.74</v>
      </c>
      <c r="G54" s="1">
        <f t="shared" si="1"/>
        <v>0</v>
      </c>
    </row>
    <row r="55" spans="2:7" ht="16.5" customHeight="1">
      <c r="B55" s="65"/>
      <c r="C55" s="36" t="s">
        <v>79</v>
      </c>
      <c r="D55" s="44" t="s">
        <v>150</v>
      </c>
      <c r="E55" s="46">
        <v>0.45</v>
      </c>
      <c r="F55" s="1">
        <v>4.18</v>
      </c>
      <c r="G55" s="1">
        <f t="shared" si="1"/>
        <v>41.8</v>
      </c>
    </row>
    <row r="56" spans="2:7" ht="16.8" customHeight="1">
      <c r="B56" s="65"/>
      <c r="C56" s="36" t="s">
        <v>80</v>
      </c>
      <c r="D56" s="44" t="s">
        <v>146</v>
      </c>
      <c r="E56" s="46">
        <v>0.39</v>
      </c>
      <c r="F56" s="1">
        <v>2.8</v>
      </c>
      <c r="G56" s="1">
        <f t="shared" si="1"/>
        <v>0</v>
      </c>
    </row>
    <row r="57" spans="2:7" ht="16.5" customHeight="1">
      <c r="B57" s="65"/>
      <c r="C57" s="36" t="s">
        <v>81</v>
      </c>
      <c r="D57" s="44" t="s">
        <v>150</v>
      </c>
      <c r="E57" s="46">
        <v>0.45</v>
      </c>
      <c r="F57" s="1">
        <v>3.1</v>
      </c>
      <c r="G57" s="1">
        <f t="shared" si="1"/>
        <v>31</v>
      </c>
    </row>
    <row r="58" spans="2:7" ht="16.5" customHeight="1">
      <c r="B58" s="65"/>
      <c r="C58" s="36" t="s">
        <v>82</v>
      </c>
      <c r="D58" s="44" t="s">
        <v>146</v>
      </c>
      <c r="E58" s="46">
        <v>0.48</v>
      </c>
      <c r="F58" s="1">
        <v>4.03</v>
      </c>
      <c r="G58" s="1">
        <f t="shared" si="1"/>
        <v>0</v>
      </c>
    </row>
    <row r="59" spans="2:7" ht="16.5" customHeight="1">
      <c r="B59" s="65"/>
      <c r="C59" s="36" t="s">
        <v>83</v>
      </c>
      <c r="D59" s="44" t="s">
        <v>150</v>
      </c>
      <c r="E59" s="46">
        <v>0.48</v>
      </c>
      <c r="F59" s="1">
        <v>4.34</v>
      </c>
      <c r="G59" s="1">
        <f t="shared" si="1"/>
        <v>43.4</v>
      </c>
    </row>
    <row r="60" spans="2:7" ht="16.5" customHeight="1">
      <c r="B60" s="66"/>
      <c r="C60" s="37" t="s">
        <v>27</v>
      </c>
      <c r="D60" s="42" t="s">
        <v>146</v>
      </c>
      <c r="E60" s="47">
        <v>0.11</v>
      </c>
      <c r="F60" s="2">
        <v>0.95</v>
      </c>
      <c r="G60" s="3">
        <f t="shared" si="1"/>
        <v>0</v>
      </c>
    </row>
    <row r="61" spans="2:7" ht="16.5" customHeight="1">
      <c r="B61" s="64"/>
      <c r="C61" s="37" t="s">
        <v>28</v>
      </c>
      <c r="D61" s="42" t="s">
        <v>146</v>
      </c>
      <c r="E61" s="47">
        <v>0.11</v>
      </c>
      <c r="F61" s="2">
        <v>1.1000000000000001</v>
      </c>
      <c r="G61" s="3">
        <f t="shared" si="1"/>
        <v>0</v>
      </c>
    </row>
    <row r="62" spans="2:7" ht="16.5" customHeight="1">
      <c r="B62" s="64"/>
      <c r="C62" s="37" t="s">
        <v>29</v>
      </c>
      <c r="D62" s="42" t="s">
        <v>146</v>
      </c>
      <c r="E62" s="47">
        <v>0.15</v>
      </c>
      <c r="F62" s="2">
        <v>1.39</v>
      </c>
      <c r="G62" s="3">
        <f t="shared" si="1"/>
        <v>0</v>
      </c>
    </row>
    <row r="63" spans="2:7" ht="16.5" customHeight="1">
      <c r="B63" s="64"/>
      <c r="C63" s="37" t="s">
        <v>30</v>
      </c>
      <c r="D63" s="42" t="s">
        <v>148</v>
      </c>
      <c r="E63" s="47">
        <v>0.19</v>
      </c>
      <c r="F63" s="2">
        <v>1.8</v>
      </c>
      <c r="G63" s="3">
        <f t="shared" si="1"/>
        <v>27</v>
      </c>
    </row>
    <row r="64" spans="2:7" ht="16.5" customHeight="1">
      <c r="B64" s="64"/>
      <c r="C64" s="36" t="s">
        <v>31</v>
      </c>
      <c r="D64" s="44" t="s">
        <v>146</v>
      </c>
      <c r="E64" s="46">
        <v>0.12</v>
      </c>
      <c r="F64" s="1">
        <v>1.28</v>
      </c>
      <c r="G64" s="1">
        <f t="shared" si="1"/>
        <v>0</v>
      </c>
    </row>
    <row r="65" spans="2:7" ht="16.5" customHeight="1">
      <c r="B65" s="64"/>
      <c r="C65" s="36" t="s">
        <v>32</v>
      </c>
      <c r="D65" s="44" t="s">
        <v>146</v>
      </c>
      <c r="E65" s="46">
        <v>0.12</v>
      </c>
      <c r="F65" s="1">
        <v>1.39</v>
      </c>
      <c r="G65" s="1">
        <f t="shared" si="1"/>
        <v>0</v>
      </c>
    </row>
    <row r="66" spans="2:7" ht="16.5" customHeight="1">
      <c r="B66" s="64"/>
      <c r="C66" s="36" t="s">
        <v>33</v>
      </c>
      <c r="D66" s="44" t="s">
        <v>146</v>
      </c>
      <c r="E66" s="46">
        <v>0.15</v>
      </c>
      <c r="F66" s="1">
        <v>1.58</v>
      </c>
      <c r="G66" s="1">
        <f t="shared" si="1"/>
        <v>0</v>
      </c>
    </row>
    <row r="67" spans="2:7" ht="16.5" customHeight="1">
      <c r="B67" s="64"/>
      <c r="C67" s="36" t="s">
        <v>34</v>
      </c>
      <c r="D67" s="44" t="s">
        <v>153</v>
      </c>
      <c r="E67" s="46">
        <v>0.19</v>
      </c>
      <c r="F67" s="1">
        <v>1.75</v>
      </c>
      <c r="G67" s="1">
        <f t="shared" si="1"/>
        <v>43.75</v>
      </c>
    </row>
    <row r="68" spans="2:7" ht="16.5" customHeight="1">
      <c r="B68" s="64"/>
      <c r="C68" s="37" t="s">
        <v>35</v>
      </c>
      <c r="D68" s="42" t="s">
        <v>151</v>
      </c>
      <c r="E68" s="47">
        <v>0.15</v>
      </c>
      <c r="F68" s="2">
        <v>1.35</v>
      </c>
      <c r="G68" s="3">
        <f t="shared" si="1"/>
        <v>27</v>
      </c>
    </row>
    <row r="69" spans="2:7" ht="16.5" customHeight="1">
      <c r="B69" s="64"/>
      <c r="C69" s="37" t="s">
        <v>36</v>
      </c>
      <c r="D69" s="43" t="s">
        <v>146</v>
      </c>
      <c r="E69" s="47">
        <v>0.15</v>
      </c>
      <c r="F69" s="2">
        <v>1.48</v>
      </c>
      <c r="G69" s="3">
        <f t="shared" si="1"/>
        <v>0</v>
      </c>
    </row>
    <row r="70" spans="2:7" ht="16.5" customHeight="1">
      <c r="B70" s="64"/>
      <c r="C70" s="37" t="s">
        <v>37</v>
      </c>
      <c r="D70" s="42" t="s">
        <v>154</v>
      </c>
      <c r="E70" s="47">
        <v>0.25</v>
      </c>
      <c r="F70" s="2">
        <v>1.65</v>
      </c>
      <c r="G70" s="3">
        <f t="shared" si="1"/>
        <v>57.75</v>
      </c>
    </row>
    <row r="71" spans="2:7" ht="16.5" customHeight="1">
      <c r="B71" s="64"/>
      <c r="C71" s="37" t="s">
        <v>38</v>
      </c>
      <c r="D71" s="42" t="s">
        <v>155</v>
      </c>
      <c r="E71" s="47">
        <v>0.25</v>
      </c>
      <c r="F71" s="2">
        <v>1.81</v>
      </c>
      <c r="G71" s="3">
        <f t="shared" si="1"/>
        <v>72.400000000000006</v>
      </c>
    </row>
    <row r="72" spans="2:7" ht="16.5" customHeight="1">
      <c r="B72" s="65"/>
      <c r="C72" s="36" t="s">
        <v>84</v>
      </c>
      <c r="D72" s="44" t="s">
        <v>149</v>
      </c>
      <c r="E72" s="46">
        <v>0.26</v>
      </c>
      <c r="F72" s="1">
        <v>1.6</v>
      </c>
      <c r="G72" s="1">
        <f t="shared" si="1"/>
        <v>48</v>
      </c>
    </row>
    <row r="73" spans="2:7" ht="16.5" customHeight="1">
      <c r="B73" s="65"/>
      <c r="C73" s="36" t="s">
        <v>85</v>
      </c>
      <c r="D73" s="44" t="s">
        <v>150</v>
      </c>
      <c r="E73" s="46">
        <v>0.35</v>
      </c>
      <c r="F73" s="1">
        <v>1.7</v>
      </c>
      <c r="G73" s="1">
        <f t="shared" si="1"/>
        <v>17</v>
      </c>
    </row>
    <row r="74" spans="2:7" ht="16.5" customHeight="1">
      <c r="B74" s="65"/>
      <c r="C74" s="36" t="s">
        <v>86</v>
      </c>
      <c r="D74" s="44" t="s">
        <v>151</v>
      </c>
      <c r="E74" s="46">
        <v>0.39</v>
      </c>
      <c r="F74" s="1">
        <v>2.6</v>
      </c>
      <c r="G74" s="1">
        <f t="shared" si="1"/>
        <v>52</v>
      </c>
    </row>
    <row r="75" spans="2:7" ht="16.5" customHeight="1">
      <c r="B75" s="65"/>
      <c r="C75" s="36" t="s">
        <v>87</v>
      </c>
      <c r="D75" s="44" t="s">
        <v>151</v>
      </c>
      <c r="E75" s="46">
        <v>0.45</v>
      </c>
      <c r="F75" s="1">
        <v>3.1</v>
      </c>
      <c r="G75" s="1">
        <f t="shared" si="1"/>
        <v>62</v>
      </c>
    </row>
    <row r="76" spans="2:7" ht="16.5" customHeight="1">
      <c r="B76" s="65"/>
      <c r="C76" s="36" t="s">
        <v>88</v>
      </c>
      <c r="D76" s="44" t="s">
        <v>151</v>
      </c>
      <c r="E76" s="46">
        <v>0.35</v>
      </c>
      <c r="F76" s="1">
        <v>1.8</v>
      </c>
      <c r="G76" s="1">
        <f t="shared" si="1"/>
        <v>36</v>
      </c>
    </row>
    <row r="77" spans="2:7" ht="16.5" customHeight="1">
      <c r="B77" s="65"/>
      <c r="C77" s="36" t="s">
        <v>89</v>
      </c>
      <c r="D77" s="44" t="s">
        <v>150</v>
      </c>
      <c r="E77" s="46">
        <v>0.39</v>
      </c>
      <c r="F77" s="1">
        <v>2</v>
      </c>
      <c r="G77" s="1">
        <f t="shared" si="1"/>
        <v>20</v>
      </c>
    </row>
    <row r="78" spans="2:7" ht="16.5" customHeight="1">
      <c r="B78" s="65"/>
      <c r="C78" s="36" t="s">
        <v>90</v>
      </c>
      <c r="D78" s="44" t="s">
        <v>154</v>
      </c>
      <c r="E78" s="46">
        <v>0.35</v>
      </c>
      <c r="F78" s="1">
        <v>2.4</v>
      </c>
      <c r="G78" s="1">
        <f t="shared" si="1"/>
        <v>84</v>
      </c>
    </row>
    <row r="79" spans="2:7" ht="16.5" customHeight="1">
      <c r="B79" s="65"/>
      <c r="C79" s="36" t="s">
        <v>91</v>
      </c>
      <c r="D79" s="44" t="s">
        <v>148</v>
      </c>
      <c r="E79" s="46">
        <v>0.45</v>
      </c>
      <c r="F79" s="1">
        <v>3</v>
      </c>
      <c r="G79" s="1">
        <f t="shared" si="1"/>
        <v>45</v>
      </c>
    </row>
    <row r="80" spans="2:7" ht="16.5" customHeight="1">
      <c r="B80" s="65"/>
      <c r="C80" s="36" t="s">
        <v>43</v>
      </c>
      <c r="D80" s="44" t="s">
        <v>149</v>
      </c>
      <c r="E80" s="46">
        <v>0.39</v>
      </c>
      <c r="F80" s="1">
        <v>2.8</v>
      </c>
      <c r="G80" s="1">
        <f t="shared" si="1"/>
        <v>84</v>
      </c>
    </row>
    <row r="81" spans="2:7" ht="16.5" customHeight="1">
      <c r="B81" s="65"/>
      <c r="C81" s="36" t="s">
        <v>44</v>
      </c>
      <c r="D81" s="44" t="s">
        <v>150</v>
      </c>
      <c r="E81" s="46">
        <v>0.45</v>
      </c>
      <c r="F81" s="1">
        <v>3.1</v>
      </c>
      <c r="G81" s="1">
        <f t="shared" ref="G81:G86" si="2">(D81*F81)</f>
        <v>31</v>
      </c>
    </row>
    <row r="82" spans="2:7" ht="16.5" customHeight="1">
      <c r="B82" s="65"/>
      <c r="C82" s="36" t="s">
        <v>45</v>
      </c>
      <c r="D82" s="44" t="s">
        <v>153</v>
      </c>
      <c r="E82" s="46">
        <v>0.48</v>
      </c>
      <c r="F82" s="1">
        <v>3.3</v>
      </c>
      <c r="G82" s="1">
        <f t="shared" si="2"/>
        <v>82.5</v>
      </c>
    </row>
    <row r="83" spans="2:7" ht="16.5" customHeight="1">
      <c r="B83" s="65"/>
      <c r="C83" s="36" t="s">
        <v>46</v>
      </c>
      <c r="D83" s="44" t="s">
        <v>153</v>
      </c>
      <c r="E83" s="46">
        <v>0.48</v>
      </c>
      <c r="F83" s="1">
        <v>3.5</v>
      </c>
      <c r="G83" s="1">
        <f t="shared" si="2"/>
        <v>87.5</v>
      </c>
    </row>
    <row r="84" spans="2:7" ht="16.5" customHeight="1">
      <c r="B84" s="61"/>
      <c r="C84" s="38" t="s">
        <v>39</v>
      </c>
      <c r="D84" s="42" t="s">
        <v>146</v>
      </c>
      <c r="E84" s="47">
        <v>0.12</v>
      </c>
      <c r="F84" s="3">
        <v>1.1000000000000001</v>
      </c>
      <c r="G84" s="3">
        <f t="shared" si="2"/>
        <v>0</v>
      </c>
    </row>
    <row r="85" spans="2:7" ht="16.5" customHeight="1">
      <c r="B85" s="62"/>
      <c r="C85" s="38" t="s">
        <v>40</v>
      </c>
      <c r="D85" s="42" t="s">
        <v>146</v>
      </c>
      <c r="E85" s="47">
        <v>0.12</v>
      </c>
      <c r="F85" s="3">
        <v>1.5</v>
      </c>
      <c r="G85" s="3">
        <f t="shared" si="2"/>
        <v>0</v>
      </c>
    </row>
    <row r="86" spans="2:7" ht="16.5" customHeight="1">
      <c r="B86" s="62"/>
      <c r="C86" s="38" t="s">
        <v>41</v>
      </c>
      <c r="D86" s="42" t="s">
        <v>146</v>
      </c>
      <c r="E86" s="47">
        <v>0.12</v>
      </c>
      <c r="F86" s="3">
        <v>1.6</v>
      </c>
      <c r="G86" s="3">
        <f t="shared" si="2"/>
        <v>0</v>
      </c>
    </row>
    <row r="87" spans="2:7" ht="16.5" customHeight="1">
      <c r="B87" s="62"/>
      <c r="C87" s="38" t="s">
        <v>42</v>
      </c>
      <c r="D87" s="42" t="s">
        <v>146</v>
      </c>
      <c r="E87" s="49">
        <v>0.14000000000000001</v>
      </c>
      <c r="F87" s="3">
        <v>1.8</v>
      </c>
      <c r="G87" s="3">
        <f>(D87*F87)</f>
        <v>0</v>
      </c>
    </row>
    <row r="88" spans="2:7" ht="16.5" customHeight="1">
      <c r="B88" s="63"/>
      <c r="C88" s="38" t="s">
        <v>47</v>
      </c>
      <c r="D88" s="42" t="s">
        <v>146</v>
      </c>
      <c r="E88" s="49">
        <v>0.26</v>
      </c>
      <c r="F88" s="3">
        <v>2</v>
      </c>
      <c r="G88" s="3">
        <f>(D88*F88)</f>
        <v>0</v>
      </c>
    </row>
    <row r="89" spans="2:7" ht="16.5" customHeight="1">
      <c r="B89" s="61"/>
      <c r="C89" s="39" t="s">
        <v>48</v>
      </c>
      <c r="D89" s="35">
        <v>0</v>
      </c>
      <c r="E89" s="46">
        <v>0.35</v>
      </c>
      <c r="F89" s="10">
        <v>1.2</v>
      </c>
      <c r="G89" s="5">
        <f t="shared" ref="G89:G103" si="3">(D89*F89)</f>
        <v>0</v>
      </c>
    </row>
    <row r="90" spans="2:7" ht="16.5" customHeight="1">
      <c r="B90" s="62"/>
      <c r="C90" s="39" t="s">
        <v>49</v>
      </c>
      <c r="D90" s="35">
        <v>0</v>
      </c>
      <c r="E90" s="46">
        <v>0.39</v>
      </c>
      <c r="F90" s="10">
        <v>1.4</v>
      </c>
      <c r="G90" s="5">
        <f t="shared" si="3"/>
        <v>0</v>
      </c>
    </row>
    <row r="91" spans="2:7" ht="16.5" customHeight="1">
      <c r="B91" s="62"/>
      <c r="C91" s="39" t="s">
        <v>50</v>
      </c>
      <c r="D91" s="35">
        <v>0</v>
      </c>
      <c r="E91" s="46">
        <v>0.52</v>
      </c>
      <c r="F91" s="10">
        <v>1.8</v>
      </c>
      <c r="G91" s="5">
        <f t="shared" si="3"/>
        <v>0</v>
      </c>
    </row>
    <row r="92" spans="2:7" ht="16.5" customHeight="1">
      <c r="B92" s="62"/>
      <c r="C92" s="39" t="s">
        <v>51</v>
      </c>
      <c r="D92" s="35">
        <v>0</v>
      </c>
      <c r="E92" s="46">
        <v>0.39</v>
      </c>
      <c r="F92" s="10">
        <v>1.44</v>
      </c>
      <c r="G92" s="5">
        <f t="shared" si="3"/>
        <v>0</v>
      </c>
    </row>
    <row r="93" spans="2:7" ht="16.5" customHeight="1">
      <c r="B93" s="62"/>
      <c r="C93" s="39" t="s">
        <v>52</v>
      </c>
      <c r="D93" s="35">
        <v>0</v>
      </c>
      <c r="E93" s="46">
        <v>0.39</v>
      </c>
      <c r="F93" s="10">
        <v>1.84</v>
      </c>
      <c r="G93" s="5">
        <f t="shared" si="3"/>
        <v>0</v>
      </c>
    </row>
    <row r="94" spans="2:7" ht="16.5" customHeight="1">
      <c r="B94" s="62"/>
      <c r="C94" s="39" t="s">
        <v>53</v>
      </c>
      <c r="D94" s="35">
        <v>0</v>
      </c>
      <c r="E94" s="46">
        <v>0.52</v>
      </c>
      <c r="F94" s="10">
        <v>1.91</v>
      </c>
      <c r="G94" s="5">
        <f t="shared" si="3"/>
        <v>0</v>
      </c>
    </row>
    <row r="95" spans="2:7" ht="16.5" customHeight="1">
      <c r="B95" s="62"/>
      <c r="C95" s="39" t="s">
        <v>54</v>
      </c>
      <c r="D95" s="35">
        <v>0</v>
      </c>
      <c r="E95" s="46">
        <v>0.65</v>
      </c>
      <c r="F95" s="10">
        <v>3.16</v>
      </c>
      <c r="G95" s="5">
        <f t="shared" si="3"/>
        <v>0</v>
      </c>
    </row>
    <row r="96" spans="2:7" ht="16.5" customHeight="1">
      <c r="B96" s="62"/>
      <c r="C96" s="39" t="s">
        <v>55</v>
      </c>
      <c r="D96" s="35">
        <v>0</v>
      </c>
      <c r="E96" s="46">
        <v>0.52</v>
      </c>
      <c r="F96" s="10">
        <v>1.44</v>
      </c>
      <c r="G96" s="5">
        <f t="shared" si="3"/>
        <v>0</v>
      </c>
    </row>
    <row r="97" spans="2:7" ht="16.5" customHeight="1">
      <c r="B97" s="62"/>
      <c r="C97" s="39" t="s">
        <v>56</v>
      </c>
      <c r="D97" s="35">
        <v>0</v>
      </c>
      <c r="E97" s="46">
        <v>0.52</v>
      </c>
      <c r="F97" s="10">
        <v>2.06</v>
      </c>
      <c r="G97" s="5">
        <f t="shared" si="3"/>
        <v>0</v>
      </c>
    </row>
    <row r="98" spans="2:7" ht="16.5" customHeight="1">
      <c r="B98" s="62"/>
      <c r="C98" s="39" t="s">
        <v>57</v>
      </c>
      <c r="D98" s="35">
        <v>0</v>
      </c>
      <c r="E98" s="46">
        <v>0.52</v>
      </c>
      <c r="F98" s="10">
        <v>2.35</v>
      </c>
      <c r="G98" s="5">
        <f t="shared" si="3"/>
        <v>0</v>
      </c>
    </row>
    <row r="99" spans="2:7" ht="16.5" customHeight="1">
      <c r="B99" s="62"/>
      <c r="C99" s="39" t="s">
        <v>58</v>
      </c>
      <c r="D99" s="35">
        <v>0</v>
      </c>
      <c r="E99" s="46">
        <v>0.65</v>
      </c>
      <c r="F99" s="10">
        <v>3.46</v>
      </c>
      <c r="G99" s="5">
        <f t="shared" si="3"/>
        <v>0</v>
      </c>
    </row>
    <row r="100" spans="2:7" ht="16.5" customHeight="1">
      <c r="B100" s="62"/>
      <c r="C100" s="39" t="s">
        <v>59</v>
      </c>
      <c r="D100" s="35">
        <v>0</v>
      </c>
      <c r="E100" s="46">
        <v>0.65</v>
      </c>
      <c r="F100" s="10">
        <v>2.85</v>
      </c>
      <c r="G100" s="5">
        <f t="shared" si="3"/>
        <v>0</v>
      </c>
    </row>
    <row r="101" spans="2:7" ht="16.5" customHeight="1">
      <c r="B101" s="62"/>
      <c r="C101" s="39" t="s">
        <v>60</v>
      </c>
      <c r="D101" s="35">
        <v>0</v>
      </c>
      <c r="E101" s="46">
        <v>0.68</v>
      </c>
      <c r="F101" s="10">
        <v>3.16</v>
      </c>
      <c r="G101" s="5">
        <f t="shared" si="3"/>
        <v>0</v>
      </c>
    </row>
    <row r="102" spans="2:7" ht="16.2" customHeight="1">
      <c r="B102" s="62"/>
      <c r="C102" s="39" t="s">
        <v>61</v>
      </c>
      <c r="D102" s="35">
        <v>0</v>
      </c>
      <c r="E102" s="46">
        <v>0.68</v>
      </c>
      <c r="F102" s="10">
        <v>3.16</v>
      </c>
      <c r="G102" s="5">
        <f t="shared" si="3"/>
        <v>0</v>
      </c>
    </row>
    <row r="103" spans="2:7" ht="16.5" customHeight="1">
      <c r="B103" s="63"/>
      <c r="C103" s="40" t="s">
        <v>62</v>
      </c>
      <c r="D103" s="35">
        <v>0</v>
      </c>
      <c r="E103" s="46">
        <v>0.7</v>
      </c>
      <c r="F103" s="10">
        <v>3.75</v>
      </c>
      <c r="G103" s="5">
        <f t="shared" si="3"/>
        <v>0</v>
      </c>
    </row>
    <row r="104" spans="2:7" ht="16.5" customHeight="1">
      <c r="B104" s="31"/>
      <c r="C104" s="7"/>
      <c r="D104" s="8"/>
      <c r="E104" s="8"/>
      <c r="F104" s="9"/>
      <c r="G104" s="6"/>
    </row>
    <row r="105" spans="2:7" ht="16.5" customHeight="1">
      <c r="B105" s="31"/>
      <c r="C105" s="7"/>
      <c r="D105" s="8"/>
      <c r="E105" s="8"/>
      <c r="F105" s="9"/>
      <c r="G105" s="6"/>
    </row>
    <row r="106" spans="2:7" ht="16.5" customHeight="1">
      <c r="B106" s="31"/>
      <c r="C106" s="7"/>
      <c r="D106" s="8"/>
      <c r="E106" s="8"/>
      <c r="F106" s="9"/>
      <c r="G106" s="6"/>
    </row>
    <row r="107" spans="2:7" ht="16.5" customHeight="1">
      <c r="B107" s="31"/>
      <c r="C107" s="7"/>
      <c r="D107" s="8"/>
      <c r="E107" s="8"/>
      <c r="F107" s="9"/>
      <c r="G107" s="6"/>
    </row>
    <row r="108" spans="2:7" ht="16.2" customHeight="1">
      <c r="B108" s="74" t="s">
        <v>105</v>
      </c>
      <c r="C108" s="75"/>
      <c r="D108" s="75"/>
      <c r="E108" s="75"/>
      <c r="F108" s="75"/>
      <c r="G108" s="76"/>
    </row>
    <row r="109" spans="2:7" ht="16.2" customHeight="1">
      <c r="B109" s="77"/>
      <c r="C109" s="78"/>
      <c r="D109" s="78"/>
      <c r="E109" s="78"/>
      <c r="F109" s="78"/>
      <c r="G109" s="79"/>
    </row>
    <row r="110" spans="2:7" ht="16.2" customHeight="1">
      <c r="B110" s="86"/>
      <c r="C110" s="87"/>
      <c r="D110" s="87"/>
      <c r="E110" s="87"/>
      <c r="F110" s="87"/>
      <c r="G110" s="88"/>
    </row>
    <row r="111" spans="2:7" ht="31.8" customHeight="1">
      <c r="B111" s="11" t="s">
        <v>63</v>
      </c>
      <c r="C111" s="12" t="s">
        <v>98</v>
      </c>
      <c r="D111" s="41" t="s">
        <v>143</v>
      </c>
      <c r="E111" s="11" t="s">
        <v>145</v>
      </c>
      <c r="F111" s="11" t="s">
        <v>144</v>
      </c>
      <c r="G111" s="11" t="s">
        <v>156</v>
      </c>
    </row>
    <row r="112" spans="2:7" ht="16.2" customHeight="1">
      <c r="B112" s="26"/>
      <c r="C112" s="19" t="s">
        <v>106</v>
      </c>
      <c r="D112" s="19">
        <v>110</v>
      </c>
      <c r="E112" s="51">
        <v>3.6999999999999998E-2</v>
      </c>
      <c r="F112" s="23">
        <v>0.5</v>
      </c>
      <c r="G112" s="22">
        <f>(D112*F112)</f>
        <v>55</v>
      </c>
    </row>
    <row r="113" spans="2:7" ht="16.2" customHeight="1">
      <c r="B113" s="28"/>
      <c r="C113" s="19" t="s">
        <v>107</v>
      </c>
      <c r="D113" s="19">
        <v>15</v>
      </c>
      <c r="E113" s="51">
        <v>3.5000000000000003E-2</v>
      </c>
      <c r="F113" s="23">
        <v>0.6</v>
      </c>
      <c r="G113" s="22">
        <f t="shared" ref="G113:G133" si="4">(D113*F113)</f>
        <v>9</v>
      </c>
    </row>
    <row r="114" spans="2:7" ht="16.2" customHeight="1">
      <c r="B114" s="28"/>
      <c r="C114" s="19" t="s">
        <v>108</v>
      </c>
      <c r="D114" s="19">
        <v>30</v>
      </c>
      <c r="E114" s="51">
        <v>3.6999999999999998E-2</v>
      </c>
      <c r="F114" s="23">
        <v>0.9</v>
      </c>
      <c r="G114" s="22">
        <f t="shared" si="4"/>
        <v>27</v>
      </c>
    </row>
    <row r="115" spans="2:7" ht="16.2" customHeight="1">
      <c r="B115" s="28"/>
      <c r="C115" s="19" t="s">
        <v>109</v>
      </c>
      <c r="D115" s="19">
        <v>280</v>
      </c>
      <c r="E115" s="51">
        <v>0.05</v>
      </c>
      <c r="F115" s="23">
        <v>0.9</v>
      </c>
      <c r="G115" s="22">
        <f t="shared" si="4"/>
        <v>252</v>
      </c>
    </row>
    <row r="116" spans="2:7" ht="16.2" customHeight="1">
      <c r="B116" s="28"/>
      <c r="C116" s="19" t="s">
        <v>110</v>
      </c>
      <c r="D116" s="19">
        <v>15</v>
      </c>
      <c r="E116" s="51">
        <v>4.9000000000000002E-2</v>
      </c>
      <c r="F116" s="23">
        <v>0.95</v>
      </c>
      <c r="G116" s="22">
        <f t="shared" si="4"/>
        <v>14.25</v>
      </c>
    </row>
    <row r="117" spans="2:7" ht="16.2" customHeight="1">
      <c r="B117" s="28"/>
      <c r="C117" s="19" t="s">
        <v>111</v>
      </c>
      <c r="D117" s="19">
        <v>74</v>
      </c>
      <c r="E117" s="51">
        <v>5.0999999999999997E-2</v>
      </c>
      <c r="F117" s="23">
        <v>1</v>
      </c>
      <c r="G117" s="22">
        <f t="shared" si="4"/>
        <v>74</v>
      </c>
    </row>
    <row r="118" spans="2:7" ht="16.2" customHeight="1">
      <c r="B118" s="28"/>
      <c r="C118" s="19" t="s">
        <v>127</v>
      </c>
      <c r="D118" s="19">
        <v>197</v>
      </c>
      <c r="E118" s="51">
        <v>0.05</v>
      </c>
      <c r="F118" s="23">
        <v>1.3</v>
      </c>
      <c r="G118" s="22">
        <f t="shared" ref="G118" si="5">(D118*F118)</f>
        <v>256.10000000000002</v>
      </c>
    </row>
    <row r="119" spans="2:7" ht="16.2" customHeight="1">
      <c r="B119" s="28"/>
      <c r="C119" s="19" t="s">
        <v>112</v>
      </c>
      <c r="D119" s="19">
        <v>261</v>
      </c>
      <c r="E119" s="51">
        <v>0.05</v>
      </c>
      <c r="F119" s="23">
        <v>1.7</v>
      </c>
      <c r="G119" s="22">
        <f t="shared" si="4"/>
        <v>443.7</v>
      </c>
    </row>
    <row r="120" spans="2:7" ht="16.2" customHeight="1">
      <c r="B120" s="28"/>
      <c r="C120" s="19" t="s">
        <v>113</v>
      </c>
      <c r="D120" s="19">
        <v>295</v>
      </c>
      <c r="E120" s="51">
        <v>0.11</v>
      </c>
      <c r="F120" s="23">
        <v>1.9</v>
      </c>
      <c r="G120" s="22">
        <f t="shared" si="4"/>
        <v>560.5</v>
      </c>
    </row>
    <row r="121" spans="2:7" ht="16.2" customHeight="1">
      <c r="B121" s="28"/>
      <c r="C121" s="19" t="s">
        <v>114</v>
      </c>
      <c r="D121" s="19">
        <v>288</v>
      </c>
      <c r="E121" s="51">
        <v>0.18</v>
      </c>
      <c r="F121" s="23">
        <v>2.2999999999999998</v>
      </c>
      <c r="G121" s="22">
        <f t="shared" si="4"/>
        <v>662.4</v>
      </c>
    </row>
    <row r="122" spans="2:7" ht="16.2" customHeight="1">
      <c r="B122" s="28"/>
      <c r="C122" s="19" t="s">
        <v>115</v>
      </c>
      <c r="D122" s="19">
        <v>288</v>
      </c>
      <c r="E122" s="51">
        <v>0.21</v>
      </c>
      <c r="F122" s="23">
        <v>2.2999999999999998</v>
      </c>
      <c r="G122" s="22">
        <f t="shared" si="4"/>
        <v>662.4</v>
      </c>
    </row>
    <row r="123" spans="2:7" ht="16.2" customHeight="1">
      <c r="B123" s="28"/>
      <c r="C123" s="13" t="s">
        <v>116</v>
      </c>
      <c r="D123" s="57">
        <v>285</v>
      </c>
      <c r="E123" s="52">
        <v>2.5000000000000001E-2</v>
      </c>
      <c r="F123" s="20">
        <v>0.6</v>
      </c>
      <c r="G123" s="24">
        <f t="shared" si="4"/>
        <v>171</v>
      </c>
    </row>
    <row r="124" spans="2:7" ht="16.2" customHeight="1">
      <c r="B124" s="28"/>
      <c r="C124" s="13" t="s">
        <v>117</v>
      </c>
      <c r="D124" s="57">
        <v>186</v>
      </c>
      <c r="E124" s="52">
        <v>2.9000000000000001E-2</v>
      </c>
      <c r="F124" s="20">
        <v>0.7</v>
      </c>
      <c r="G124" s="24">
        <f t="shared" si="4"/>
        <v>130.19999999999999</v>
      </c>
    </row>
    <row r="125" spans="2:7" ht="16.2" customHeight="1">
      <c r="B125" s="28"/>
      <c r="C125" s="13" t="s">
        <v>118</v>
      </c>
      <c r="D125" s="57">
        <v>88</v>
      </c>
      <c r="E125" s="52">
        <v>3.5000000000000003E-2</v>
      </c>
      <c r="F125" s="20">
        <v>0.8</v>
      </c>
      <c r="G125" s="24">
        <f t="shared" si="4"/>
        <v>70.400000000000006</v>
      </c>
    </row>
    <row r="126" spans="2:7" ht="16.2" customHeight="1">
      <c r="B126" s="28"/>
      <c r="C126" s="13" t="s">
        <v>119</v>
      </c>
      <c r="D126" s="57">
        <v>141</v>
      </c>
      <c r="E126" s="52">
        <v>4.3999999999999997E-2</v>
      </c>
      <c r="F126" s="20">
        <v>0.9</v>
      </c>
      <c r="G126" s="24">
        <f t="shared" si="4"/>
        <v>126.9</v>
      </c>
    </row>
    <row r="127" spans="2:7" ht="16.2" customHeight="1">
      <c r="B127" s="28"/>
      <c r="C127" s="13" t="s">
        <v>120</v>
      </c>
      <c r="D127" s="57">
        <v>235</v>
      </c>
      <c r="E127" s="52">
        <v>0.1</v>
      </c>
      <c r="F127" s="20">
        <v>0.9</v>
      </c>
      <c r="G127" s="24">
        <f t="shared" si="4"/>
        <v>211.5</v>
      </c>
    </row>
    <row r="128" spans="2:7" ht="16.2" customHeight="1">
      <c r="B128" s="28"/>
      <c r="C128" s="13" t="s">
        <v>121</v>
      </c>
      <c r="D128" s="57">
        <v>137</v>
      </c>
      <c r="E128" s="52">
        <v>0.05</v>
      </c>
      <c r="F128" s="20">
        <v>1</v>
      </c>
      <c r="G128" s="24">
        <f t="shared" si="4"/>
        <v>137</v>
      </c>
    </row>
    <row r="129" spans="2:7" ht="16.2" customHeight="1">
      <c r="B129" s="28"/>
      <c r="C129" s="13" t="s">
        <v>122</v>
      </c>
      <c r="D129" s="57">
        <v>161</v>
      </c>
      <c r="E129" s="52">
        <v>0.08</v>
      </c>
      <c r="F129" s="20">
        <v>1.1000000000000001</v>
      </c>
      <c r="G129" s="24">
        <f t="shared" si="4"/>
        <v>177.10000000000002</v>
      </c>
    </row>
    <row r="130" spans="2:7" ht="16.2" customHeight="1">
      <c r="B130" s="28"/>
      <c r="C130" s="13" t="s">
        <v>123</v>
      </c>
      <c r="D130" s="57">
        <v>184</v>
      </c>
      <c r="E130" s="52">
        <v>0.09</v>
      </c>
      <c r="F130" s="20">
        <v>1.2</v>
      </c>
      <c r="G130" s="24">
        <f t="shared" si="4"/>
        <v>220.79999999999998</v>
      </c>
    </row>
    <row r="131" spans="2:7" ht="16.2" customHeight="1">
      <c r="B131" s="28"/>
      <c r="C131" s="13" t="s">
        <v>124</v>
      </c>
      <c r="D131" s="57">
        <v>271</v>
      </c>
      <c r="E131" s="52">
        <v>0.17</v>
      </c>
      <c r="F131" s="20">
        <v>1.43</v>
      </c>
      <c r="G131" s="24">
        <f t="shared" si="4"/>
        <v>387.53</v>
      </c>
    </row>
    <row r="132" spans="2:7" ht="16.2" customHeight="1">
      <c r="B132" s="28"/>
      <c r="C132" s="13" t="s">
        <v>125</v>
      </c>
      <c r="D132" s="57">
        <v>291</v>
      </c>
      <c r="E132" s="52">
        <v>0.17</v>
      </c>
      <c r="F132" s="20">
        <v>1.9</v>
      </c>
      <c r="G132" s="24">
        <f t="shared" si="4"/>
        <v>552.9</v>
      </c>
    </row>
    <row r="133" spans="2:7" ht="16.2" customHeight="1">
      <c r="B133" s="25"/>
      <c r="C133" s="13" t="s">
        <v>126</v>
      </c>
      <c r="D133" s="57">
        <v>293</v>
      </c>
      <c r="E133" s="53">
        <v>0.19</v>
      </c>
      <c r="F133" s="21">
        <v>2.2999999999999998</v>
      </c>
      <c r="G133" s="32">
        <f t="shared" si="4"/>
        <v>673.9</v>
      </c>
    </row>
    <row r="134" spans="2:7" ht="16.2" customHeight="1">
      <c r="B134" s="28"/>
      <c r="C134" s="27"/>
      <c r="D134" s="27"/>
      <c r="E134" s="27"/>
      <c r="F134" s="33"/>
      <c r="G134" s="34"/>
    </row>
    <row r="135" spans="2:7" ht="16.2" customHeight="1">
      <c r="B135" s="74" t="s">
        <v>129</v>
      </c>
      <c r="C135" s="75"/>
      <c r="D135" s="75"/>
      <c r="E135" s="75"/>
      <c r="F135" s="75"/>
      <c r="G135" s="76"/>
    </row>
    <row r="136" spans="2:7" ht="16.2" customHeight="1">
      <c r="B136" s="77"/>
      <c r="C136" s="78"/>
      <c r="D136" s="78"/>
      <c r="E136" s="78"/>
      <c r="F136" s="78"/>
      <c r="G136" s="79"/>
    </row>
    <row r="137" spans="2:7" ht="16.2" customHeight="1">
      <c r="B137" s="77"/>
      <c r="C137" s="78"/>
      <c r="D137" s="78"/>
      <c r="E137" s="78"/>
      <c r="F137" s="78"/>
      <c r="G137" s="79"/>
    </row>
    <row r="138" spans="2:7" ht="25.8" customHeight="1">
      <c r="B138" s="11" t="s">
        <v>63</v>
      </c>
      <c r="C138" s="12" t="s">
        <v>98</v>
      </c>
      <c r="D138" s="41" t="s">
        <v>143</v>
      </c>
      <c r="E138" s="11" t="s">
        <v>145</v>
      </c>
      <c r="F138" s="11" t="s">
        <v>144</v>
      </c>
      <c r="G138" s="11" t="s">
        <v>157</v>
      </c>
    </row>
    <row r="139" spans="2:7" ht="16.2" customHeight="1">
      <c r="B139" s="71"/>
      <c r="C139" s="13" t="s">
        <v>130</v>
      </c>
      <c r="D139" s="58">
        <v>1534</v>
      </c>
      <c r="E139" s="50">
        <v>4.3999999999999997E-2</v>
      </c>
      <c r="F139" s="29">
        <v>0.2</v>
      </c>
      <c r="G139" s="30">
        <f>(D139*F139)</f>
        <v>306.8</v>
      </c>
    </row>
    <row r="140" spans="2:7" ht="16.2" customHeight="1">
      <c r="B140" s="72"/>
      <c r="C140" s="13" t="s">
        <v>131</v>
      </c>
      <c r="D140" s="58">
        <v>15</v>
      </c>
      <c r="E140" s="50">
        <v>4.3999999999999997E-2</v>
      </c>
      <c r="F140" s="29">
        <v>0.25</v>
      </c>
      <c r="G140" s="30">
        <f t="shared" ref="G140:G148" si="6">(D140*F140)</f>
        <v>3.75</v>
      </c>
    </row>
    <row r="141" spans="2:7" ht="16.2" customHeight="1">
      <c r="B141" s="72"/>
      <c r="C141" s="13" t="s">
        <v>132</v>
      </c>
      <c r="D141" s="58">
        <v>414</v>
      </c>
      <c r="E141" s="59">
        <v>4.5600000000000002E-2</v>
      </c>
      <c r="F141" s="29">
        <v>0.5</v>
      </c>
      <c r="G141" s="30">
        <f t="shared" si="6"/>
        <v>207</v>
      </c>
    </row>
    <row r="142" spans="2:7" ht="16.2" customHeight="1">
      <c r="B142" s="72"/>
      <c r="C142" s="13" t="s">
        <v>133</v>
      </c>
      <c r="D142" s="58">
        <v>499</v>
      </c>
      <c r="E142" s="50">
        <v>7.6899999999999996E-2</v>
      </c>
      <c r="F142" s="29">
        <v>0.6</v>
      </c>
      <c r="G142" s="30">
        <f t="shared" si="6"/>
        <v>299.39999999999998</v>
      </c>
    </row>
    <row r="143" spans="2:7" ht="16.2" customHeight="1">
      <c r="B143" s="72"/>
      <c r="C143" s="13" t="s">
        <v>134</v>
      </c>
      <c r="D143" s="58">
        <v>744</v>
      </c>
      <c r="E143" s="50">
        <v>7.8799999999999995E-2</v>
      </c>
      <c r="F143" s="29">
        <v>0.7</v>
      </c>
      <c r="G143" s="30">
        <f t="shared" si="6"/>
        <v>520.79999999999995</v>
      </c>
    </row>
    <row r="144" spans="2:7" ht="16.2" customHeight="1">
      <c r="B144" s="72"/>
      <c r="C144" s="13" t="s">
        <v>135</v>
      </c>
      <c r="D144" s="58">
        <v>782</v>
      </c>
      <c r="E144" s="50">
        <v>8.1699999999999995E-2</v>
      </c>
      <c r="F144" s="29">
        <v>0.7</v>
      </c>
      <c r="G144" s="30">
        <f t="shared" si="6"/>
        <v>547.4</v>
      </c>
    </row>
    <row r="145" spans="2:7" ht="16.2" customHeight="1">
      <c r="B145" s="72"/>
      <c r="C145" s="13" t="s">
        <v>136</v>
      </c>
      <c r="D145" s="58">
        <v>623</v>
      </c>
      <c r="E145" s="50">
        <v>8.4000000000000005E-2</v>
      </c>
      <c r="F145" s="29">
        <v>0.75</v>
      </c>
      <c r="G145" s="30">
        <f t="shared" si="6"/>
        <v>467.25</v>
      </c>
    </row>
    <row r="146" spans="2:7" ht="16.2" customHeight="1">
      <c r="B146" s="72"/>
      <c r="C146" s="13" t="s">
        <v>137</v>
      </c>
      <c r="D146" s="58">
        <v>644</v>
      </c>
      <c r="E146" s="50">
        <v>9.0200000000000002E-2</v>
      </c>
      <c r="F146" s="29">
        <v>0.8</v>
      </c>
      <c r="G146" s="30">
        <f t="shared" si="6"/>
        <v>515.20000000000005</v>
      </c>
    </row>
    <row r="147" spans="2:7" ht="16.2" customHeight="1">
      <c r="B147" s="72"/>
      <c r="C147" s="13" t="s">
        <v>138</v>
      </c>
      <c r="D147" s="58">
        <v>359</v>
      </c>
      <c r="E147" s="50">
        <v>9.2999999999999999E-2</v>
      </c>
      <c r="F147" s="29">
        <v>0.98</v>
      </c>
      <c r="G147" s="30">
        <f t="shared" si="6"/>
        <v>351.82</v>
      </c>
    </row>
    <row r="148" spans="2:7" ht="16.2" customHeight="1">
      <c r="B148" s="73"/>
      <c r="C148" s="13" t="s">
        <v>139</v>
      </c>
      <c r="D148" s="58">
        <v>300</v>
      </c>
      <c r="E148" s="50">
        <v>0.10199999999999999</v>
      </c>
      <c r="F148" s="29">
        <v>1.3</v>
      </c>
      <c r="G148" s="30">
        <f t="shared" si="6"/>
        <v>390</v>
      </c>
    </row>
    <row r="149" spans="2:7" ht="16.2" customHeight="1">
      <c r="B149" s="80" t="s">
        <v>140</v>
      </c>
      <c r="C149" s="81"/>
      <c r="D149" s="81"/>
      <c r="E149" s="81"/>
      <c r="F149" s="81"/>
      <c r="G149" s="82"/>
    </row>
    <row r="150" spans="2:7" ht="16.2" customHeight="1">
      <c r="B150" s="83"/>
      <c r="C150" s="84"/>
      <c r="D150" s="84"/>
      <c r="E150" s="84"/>
      <c r="F150" s="84"/>
      <c r="G150" s="85"/>
    </row>
    <row r="151" spans="2:7" ht="16.2" customHeight="1">
      <c r="B151" s="83"/>
      <c r="C151" s="84"/>
      <c r="D151" s="84"/>
      <c r="E151" s="84"/>
      <c r="F151" s="84"/>
      <c r="G151" s="85"/>
    </row>
    <row r="152" spans="2:7" ht="25.8" customHeight="1">
      <c r="B152" s="11" t="s">
        <v>63</v>
      </c>
      <c r="C152" s="12" t="s">
        <v>98</v>
      </c>
      <c r="D152" s="41" t="s">
        <v>143</v>
      </c>
      <c r="E152" s="11" t="s">
        <v>145</v>
      </c>
      <c r="F152" s="11" t="s">
        <v>144</v>
      </c>
      <c r="G152" s="11" t="s">
        <v>156</v>
      </c>
    </row>
    <row r="153" spans="2:7" ht="16.2" customHeight="1">
      <c r="B153" s="71"/>
      <c r="C153" s="13" t="s">
        <v>99</v>
      </c>
      <c r="D153" s="13">
        <v>0</v>
      </c>
      <c r="E153" s="54">
        <v>7.0000000000000007E-2</v>
      </c>
      <c r="F153" s="15">
        <v>0.78</v>
      </c>
      <c r="G153" s="3">
        <f t="shared" ref="G153:G158" si="7">(D153*F153)</f>
        <v>0</v>
      </c>
    </row>
    <row r="154" spans="2:7" ht="16.2" customHeight="1">
      <c r="B154" s="72"/>
      <c r="C154" s="13" t="s">
        <v>100</v>
      </c>
      <c r="D154" s="13">
        <v>0</v>
      </c>
      <c r="E154" s="54">
        <v>0.08</v>
      </c>
      <c r="F154" s="15">
        <v>1.06</v>
      </c>
      <c r="G154" s="3">
        <f t="shared" si="7"/>
        <v>0</v>
      </c>
    </row>
    <row r="155" spans="2:7" ht="16.2" customHeight="1">
      <c r="B155" s="72"/>
      <c r="C155" s="13" t="s">
        <v>101</v>
      </c>
      <c r="D155" s="13">
        <v>0</v>
      </c>
      <c r="E155" s="54">
        <v>0.11</v>
      </c>
      <c r="F155" s="15">
        <v>1.27</v>
      </c>
      <c r="G155" s="3">
        <f t="shared" si="7"/>
        <v>0</v>
      </c>
    </row>
    <row r="156" spans="2:7" ht="16.2" customHeight="1">
      <c r="B156" s="72"/>
      <c r="C156" s="13" t="s">
        <v>102</v>
      </c>
      <c r="D156" s="13">
        <v>0</v>
      </c>
      <c r="E156" s="55">
        <v>0.15</v>
      </c>
      <c r="F156" s="16">
        <v>2.1</v>
      </c>
      <c r="G156" s="3">
        <f t="shared" si="7"/>
        <v>0</v>
      </c>
    </row>
    <row r="157" spans="2:7" ht="16.2" customHeight="1">
      <c r="B157" s="72"/>
      <c r="C157" s="13" t="s">
        <v>103</v>
      </c>
      <c r="D157" s="13">
        <v>0</v>
      </c>
      <c r="E157" s="56">
        <v>0.22</v>
      </c>
      <c r="F157" s="17">
        <v>2.25</v>
      </c>
      <c r="G157" s="3">
        <f t="shared" si="7"/>
        <v>0</v>
      </c>
    </row>
    <row r="158" spans="2:7" ht="16.2" customHeight="1">
      <c r="B158" s="73"/>
      <c r="C158" s="13" t="s">
        <v>104</v>
      </c>
      <c r="D158" s="13">
        <v>0</v>
      </c>
      <c r="E158" s="56">
        <v>0.45</v>
      </c>
      <c r="F158" s="17">
        <v>6.3</v>
      </c>
      <c r="G158" s="3">
        <f t="shared" si="7"/>
        <v>0</v>
      </c>
    </row>
    <row r="159" spans="2:7" ht="16.2" customHeight="1">
      <c r="B159" s="14"/>
      <c r="C159" s="14"/>
      <c r="D159" s="14"/>
      <c r="E159" s="14"/>
      <c r="F159" s="14"/>
      <c r="G159" s="14"/>
    </row>
    <row r="160" spans="2:7" ht="16.2" customHeight="1">
      <c r="B160" s="14"/>
      <c r="C160" s="14"/>
      <c r="D160" s="14"/>
      <c r="E160" s="14"/>
      <c r="F160" s="14"/>
      <c r="G160" s="14"/>
    </row>
    <row r="161" ht="16.2" customHeight="1"/>
    <row r="162" ht="16.2" customHeight="1"/>
    <row r="163" ht="16.2" customHeight="1"/>
    <row r="164" ht="16.2" customHeight="1"/>
    <row r="165" ht="16.2" customHeight="1"/>
    <row r="166" ht="16.2" customHeight="1"/>
    <row r="167" ht="16.2" customHeight="1"/>
    <row r="168" ht="16.2" customHeight="1"/>
    <row r="169" ht="16.2" customHeight="1"/>
    <row r="170" ht="16.2" customHeight="1"/>
    <row r="171" ht="16.2" customHeight="1"/>
    <row r="172" ht="16.2" customHeight="1"/>
    <row r="173" ht="16.2" customHeight="1"/>
    <row r="174" ht="16.2" customHeight="1"/>
    <row r="175" ht="16.2" customHeight="1"/>
    <row r="176" ht="16.2" customHeight="1"/>
    <row r="177" spans="2:7" ht="16.2" customHeight="1"/>
    <row r="178" spans="2:7" ht="21.6" customHeight="1"/>
    <row r="179" spans="2:7" ht="16.2" customHeight="1"/>
    <row r="180" spans="2:7" ht="16.2" customHeight="1"/>
    <row r="181" spans="2:7" ht="16.2" customHeight="1"/>
    <row r="182" spans="2:7" ht="16.2" customHeight="1"/>
    <row r="183" spans="2:7" ht="16.2" customHeight="1"/>
    <row r="184" spans="2:7" ht="16.2" customHeight="1"/>
    <row r="185" spans="2:7" ht="16.2" customHeight="1">
      <c r="B185" s="14"/>
      <c r="C185" s="14"/>
      <c r="D185" s="14"/>
      <c r="E185" s="14"/>
      <c r="F185" s="14"/>
      <c r="G185" s="14"/>
    </row>
    <row r="186" spans="2:7" ht="16.2" customHeight="1">
      <c r="B186" s="14"/>
      <c r="C186" s="14"/>
      <c r="D186" s="14"/>
      <c r="E186" s="14"/>
      <c r="F186" s="14"/>
      <c r="G186" s="14"/>
    </row>
    <row r="187" spans="2:7" ht="16.2" customHeight="1">
      <c r="B187" s="14"/>
      <c r="C187" s="14"/>
      <c r="D187" s="14"/>
      <c r="E187" s="14"/>
      <c r="F187" s="14"/>
      <c r="G187" s="14"/>
    </row>
    <row r="188" spans="2:7" ht="16.2" customHeight="1">
      <c r="B188" s="14"/>
      <c r="C188" s="14"/>
      <c r="D188" s="14"/>
      <c r="E188" s="14"/>
      <c r="F188" s="14"/>
      <c r="G188" s="14"/>
    </row>
    <row r="189" spans="2:7" ht="16.2" customHeight="1">
      <c r="B189" s="14"/>
      <c r="C189" s="14"/>
      <c r="D189" s="14"/>
      <c r="E189" s="14"/>
      <c r="F189" s="14"/>
      <c r="G189" s="14"/>
    </row>
    <row r="190" spans="2:7" ht="16.2" customHeight="1">
      <c r="B190" s="14"/>
      <c r="C190" s="14"/>
      <c r="D190" s="14"/>
      <c r="E190" s="14"/>
      <c r="F190" s="14"/>
      <c r="G190" s="14"/>
    </row>
    <row r="191" spans="2:7" ht="16.2" customHeight="1">
      <c r="B191" s="14"/>
      <c r="C191" s="14"/>
      <c r="D191" s="14"/>
      <c r="E191" s="14"/>
      <c r="F191" s="14"/>
      <c r="G191" s="14"/>
    </row>
    <row r="192" spans="2:7" ht="16.2" customHeight="1">
      <c r="B192" s="14"/>
      <c r="C192" s="14"/>
      <c r="D192" s="14"/>
      <c r="E192" s="14"/>
      <c r="F192" s="14"/>
      <c r="G192" s="14"/>
    </row>
    <row r="193" spans="2:7" ht="16.2" customHeight="1">
      <c r="B193" s="14"/>
      <c r="C193" s="14"/>
      <c r="D193" s="14"/>
      <c r="E193" s="14"/>
      <c r="F193" s="14"/>
      <c r="G193" s="14"/>
    </row>
    <row r="194" spans="2:7" ht="16.2" customHeight="1">
      <c r="B194" s="14"/>
      <c r="C194" s="14"/>
      <c r="D194" s="14"/>
      <c r="E194" s="14"/>
      <c r="F194" s="14"/>
      <c r="G194" s="14"/>
    </row>
    <row r="195" spans="2:7" ht="16.2" customHeight="1">
      <c r="B195" s="14"/>
      <c r="C195" s="14"/>
      <c r="D195" s="14"/>
      <c r="E195" s="14"/>
      <c r="F195" s="14"/>
      <c r="G195" s="14"/>
    </row>
    <row r="196" spans="2:7" ht="16.2" customHeight="1">
      <c r="B196" s="14"/>
      <c r="C196" s="14"/>
      <c r="D196" s="14"/>
      <c r="E196" s="14"/>
      <c r="F196" s="14"/>
      <c r="G196" s="14"/>
    </row>
    <row r="197" spans="2:7" ht="16.2" customHeight="1">
      <c r="B197" s="14"/>
      <c r="C197" s="14"/>
      <c r="D197" s="14"/>
      <c r="E197" s="14"/>
      <c r="F197" s="14"/>
      <c r="G197" s="14"/>
    </row>
    <row r="198" spans="2:7" ht="16.2" customHeight="1">
      <c r="B198" s="14"/>
      <c r="C198" s="14"/>
      <c r="D198" s="14"/>
      <c r="E198" s="14"/>
      <c r="F198" s="14"/>
      <c r="G198" s="14"/>
    </row>
    <row r="199" spans="2:7" ht="16.2" customHeight="1">
      <c r="B199" s="14"/>
      <c r="C199" s="14"/>
      <c r="D199" s="14"/>
      <c r="E199" s="14"/>
      <c r="F199" s="14"/>
      <c r="G199" s="14"/>
    </row>
    <row r="200" spans="2:7" ht="16.2" customHeight="1">
      <c r="B200" s="14"/>
      <c r="C200" s="14"/>
      <c r="D200" s="14"/>
      <c r="E200" s="14"/>
      <c r="F200" s="14"/>
      <c r="G200" s="14"/>
    </row>
    <row r="201" spans="2:7" ht="16.2" customHeight="1">
      <c r="B201" s="14"/>
      <c r="C201" s="14"/>
      <c r="D201" s="14"/>
      <c r="E201" s="14"/>
      <c r="F201" s="14"/>
      <c r="G201" s="14"/>
    </row>
    <row r="202" spans="2:7" ht="16.2" customHeight="1">
      <c r="B202" s="14"/>
      <c r="C202" s="14"/>
      <c r="D202" s="14"/>
      <c r="E202" s="14"/>
      <c r="F202" s="14"/>
      <c r="G202" s="14"/>
    </row>
    <row r="203" spans="2:7" ht="16.2" customHeight="1">
      <c r="B203" s="14"/>
      <c r="C203" s="14"/>
      <c r="D203" s="14"/>
      <c r="E203" s="14"/>
      <c r="F203" s="14"/>
      <c r="G203" s="14"/>
    </row>
    <row r="204" spans="2:7" ht="16.2" customHeight="1">
      <c r="B204" s="14"/>
      <c r="C204" s="14"/>
      <c r="D204" s="14"/>
      <c r="E204" s="14"/>
      <c r="F204" s="14"/>
      <c r="G204" s="14"/>
    </row>
    <row r="205" spans="2:7" ht="16.2" customHeight="1">
      <c r="B205" s="14"/>
      <c r="C205" s="14"/>
      <c r="D205" s="14"/>
      <c r="E205" s="14"/>
      <c r="F205" s="14"/>
      <c r="G205" s="14"/>
    </row>
    <row r="206" spans="2:7" ht="16.2" customHeight="1">
      <c r="B206" s="14"/>
      <c r="C206" s="14"/>
      <c r="D206" s="14"/>
      <c r="E206" s="14"/>
      <c r="F206" s="14"/>
      <c r="G206" s="14"/>
    </row>
    <row r="207" spans="2:7" ht="16.2" customHeight="1">
      <c r="B207" s="14"/>
      <c r="C207" s="14"/>
      <c r="D207" s="14"/>
      <c r="E207" s="14"/>
      <c r="F207" s="14"/>
      <c r="G207" s="14"/>
    </row>
    <row r="208" spans="2:7" ht="16.2" customHeight="1">
      <c r="B208" s="14"/>
      <c r="C208" s="14"/>
      <c r="D208" s="14"/>
      <c r="E208" s="14"/>
      <c r="F208" s="14"/>
      <c r="G208" s="14"/>
    </row>
    <row r="209" spans="2:7" ht="16.2" customHeight="1">
      <c r="B209" s="14"/>
      <c r="C209" s="14"/>
      <c r="D209" s="14"/>
      <c r="E209" s="14"/>
      <c r="F209" s="14"/>
      <c r="G209" s="14"/>
    </row>
    <row r="210" spans="2:7" ht="16.2" customHeight="1">
      <c r="B210" s="14"/>
      <c r="C210" s="14"/>
      <c r="D210" s="14"/>
      <c r="E210" s="14"/>
      <c r="F210" s="14"/>
      <c r="G210" s="14"/>
    </row>
    <row r="211" spans="2:7" ht="16.2" customHeight="1">
      <c r="B211" s="14"/>
      <c r="C211" s="14"/>
      <c r="D211" s="14"/>
      <c r="E211" s="14"/>
      <c r="F211" s="14"/>
      <c r="G211" s="14"/>
    </row>
    <row r="212" spans="2:7" ht="16.2" customHeight="1">
      <c r="B212" s="14"/>
      <c r="C212" s="14"/>
      <c r="D212" s="14"/>
      <c r="E212" s="14"/>
      <c r="F212" s="14"/>
      <c r="G212" s="14"/>
    </row>
    <row r="213" spans="2:7" ht="16.2" customHeight="1"/>
    <row r="214" spans="2:7" ht="16.2" customHeight="1"/>
    <row r="215" spans="2:7" ht="16.2" customHeight="1"/>
    <row r="216" spans="2:7" ht="16.2" customHeight="1"/>
    <row r="217" spans="2:7" ht="16.2" customHeight="1"/>
    <row r="218" spans="2:7" ht="16.2" customHeight="1"/>
    <row r="219" spans="2:7" ht="16.2" customHeight="1"/>
    <row r="220" spans="2:7" ht="16.2" customHeight="1"/>
    <row r="221" spans="2:7" ht="16.2" customHeight="1"/>
    <row r="222" spans="2:7" ht="16.2" customHeight="1"/>
    <row r="223" spans="2:7" ht="16.2" customHeight="1"/>
    <row r="224" spans="2:7" ht="16.2" customHeight="1"/>
    <row r="225" ht="16.2" customHeight="1"/>
    <row r="226" ht="16.2" customHeight="1"/>
    <row r="227" ht="16.2" customHeight="1"/>
    <row r="228" ht="16.2" customHeight="1"/>
    <row r="229" ht="16.2" customHeight="1"/>
    <row r="230" ht="16.2" customHeight="1"/>
    <row r="231" ht="16.2" customHeight="1"/>
    <row r="232" ht="16.2" customHeight="1"/>
    <row r="233" ht="16.2" customHeight="1"/>
    <row r="234" ht="16.2" customHeight="1"/>
    <row r="235" ht="16.2" customHeight="1"/>
    <row r="236" ht="16.2" customHeight="1"/>
    <row r="237" ht="16.2" customHeight="1"/>
    <row r="238" ht="16.2" customHeight="1"/>
    <row r="239" ht="16.2" customHeight="1"/>
    <row r="240" ht="16.2" customHeight="1"/>
    <row r="241" ht="16.2" customHeight="1"/>
    <row r="242" ht="16.2" customHeight="1"/>
    <row r="243" ht="16.2" customHeight="1"/>
    <row r="244" ht="16.2" customHeight="1"/>
    <row r="245" ht="16.2" customHeight="1"/>
    <row r="246" ht="16.2" customHeight="1"/>
    <row r="247" ht="16.2" customHeight="1"/>
    <row r="248" ht="16.2" customHeight="1"/>
    <row r="249" ht="16.2" customHeight="1"/>
    <row r="250" ht="16.2" customHeight="1"/>
    <row r="251" ht="16.2" customHeight="1"/>
    <row r="252" ht="16.2" customHeight="1"/>
    <row r="253" ht="16.2" customHeight="1"/>
    <row r="254" ht="16.2" customHeight="1"/>
    <row r="255" ht="16.2" customHeight="1"/>
    <row r="256" ht="16.2" customHeight="1"/>
    <row r="257" ht="16.2" customHeight="1"/>
    <row r="258" ht="16.2" customHeight="1"/>
    <row r="259" ht="16.2" customHeight="1"/>
    <row r="260" ht="16.2" customHeight="1"/>
    <row r="261" ht="16.2" customHeight="1"/>
    <row r="262" ht="16.2" customHeight="1"/>
    <row r="263" ht="16.2" customHeight="1"/>
    <row r="264" ht="16.2" customHeight="1"/>
    <row r="265" ht="16.2" customHeight="1"/>
    <row r="266" ht="16.2" customHeight="1"/>
    <row r="267" ht="16.2" customHeight="1"/>
    <row r="268" ht="16.2" customHeight="1"/>
    <row r="269" ht="16.2" customHeight="1"/>
    <row r="270" ht="16.2" customHeight="1"/>
    <row r="271" ht="16.2" customHeight="1"/>
    <row r="272" ht="16.2" customHeight="1"/>
    <row r="273" ht="16.2" customHeight="1"/>
    <row r="274" ht="16.2" customHeight="1"/>
  </sheetData>
  <mergeCells count="23">
    <mergeCell ref="B153:B158"/>
    <mergeCell ref="B139:B148"/>
    <mergeCell ref="B6:C6"/>
    <mergeCell ref="B89:B103"/>
    <mergeCell ref="B135:G137"/>
    <mergeCell ref="B149:G151"/>
    <mergeCell ref="B108:G110"/>
    <mergeCell ref="B1:C1"/>
    <mergeCell ref="B84:B88"/>
    <mergeCell ref="B68:B71"/>
    <mergeCell ref="B72:B83"/>
    <mergeCell ref="B44:B47"/>
    <mergeCell ref="B60:B63"/>
    <mergeCell ref="B64:B67"/>
    <mergeCell ref="B48:B59"/>
    <mergeCell ref="B7:G9"/>
    <mergeCell ref="B11:B25"/>
    <mergeCell ref="B26:B37"/>
    <mergeCell ref="B38:B43"/>
    <mergeCell ref="B2:C2"/>
    <mergeCell ref="B3:C3"/>
    <mergeCell ref="B4:C4"/>
    <mergeCell ref="B5:C5"/>
  </mergeCells>
  <pageMargins left="0.7" right="0.7" top="0.75" bottom="0.75" header="0.3" footer="0.3"/>
  <pageSetup paperSize="9" scale="8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cp:lastPrinted>2026-04-29T00:27:47Z</cp:lastPrinted>
  <dcterms:created xsi:type="dcterms:W3CDTF">2025-12-19T18:33:13Z</dcterms:created>
  <dcterms:modified xsi:type="dcterms:W3CDTF">2026-05-25T23:40:12Z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2025-07-14T00:00:00Z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2025-07-14T00:00:00Z</vt:filetime>
  </property>
</Properties>
</file>